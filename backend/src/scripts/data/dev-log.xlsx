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3529CA9A-78E7-470E-ADD8-0D49CDE60EB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Marketplace Tasks" sheetId="1" r:id="rId1"/>
    <sheet name="Log Tracker" sheetId="2" r:id="rId2"/>
    <sheet name="Weekly Summary" sheetId="3" r:id="rId3"/>
  </sheets>
  <definedNames>
    <definedName name="_xlnm._FilterDatabase" localSheetId="1" hidden="1">'Log Tracker'!$H$1:$H$1004</definedName>
    <definedName name="_xlnm._FilterDatabase" localSheetId="0" hidden="1">'Marketplace Tasks'!$A$1:$I$35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3" l="1"/>
  <c r="I24" i="3"/>
  <c r="H24" i="3"/>
  <c r="G24" i="3"/>
  <c r="F24" i="3"/>
  <c r="E24" i="3"/>
  <c r="D24" i="3"/>
  <c r="C24" i="3"/>
  <c r="B24" i="3"/>
  <c r="J23" i="3"/>
  <c r="I23" i="3"/>
  <c r="H23" i="3"/>
  <c r="G23" i="3"/>
  <c r="F23" i="3"/>
  <c r="E23" i="3"/>
  <c r="D23" i="3"/>
  <c r="C23" i="3"/>
  <c r="B23" i="3"/>
  <c r="J22" i="3"/>
  <c r="I22" i="3"/>
  <c r="H22" i="3"/>
  <c r="G22" i="3"/>
  <c r="F22" i="3"/>
  <c r="E22" i="3"/>
  <c r="D22" i="3"/>
  <c r="C22" i="3"/>
  <c r="B22" i="3"/>
  <c r="J21" i="3"/>
  <c r="I21" i="3"/>
  <c r="H21" i="3"/>
  <c r="G21" i="3"/>
  <c r="F21" i="3"/>
  <c r="E21" i="3"/>
  <c r="D21" i="3"/>
  <c r="C21" i="3"/>
  <c r="B21" i="3"/>
  <c r="J20" i="3"/>
  <c r="I20" i="3"/>
  <c r="H20" i="3"/>
  <c r="G20" i="3"/>
  <c r="F20" i="3"/>
  <c r="E20" i="3"/>
  <c r="D20" i="3"/>
  <c r="C20" i="3"/>
  <c r="B20" i="3"/>
  <c r="J19" i="3"/>
  <c r="I19" i="3"/>
  <c r="H19" i="3"/>
  <c r="G19" i="3"/>
  <c r="F19" i="3"/>
  <c r="E19" i="3"/>
  <c r="D19" i="3"/>
  <c r="C19" i="3"/>
  <c r="B19" i="3"/>
  <c r="J18" i="3"/>
  <c r="I18" i="3"/>
  <c r="H18" i="3"/>
  <c r="G18" i="3"/>
  <c r="F18" i="3"/>
  <c r="E18" i="3"/>
  <c r="D18" i="3"/>
  <c r="C18" i="3"/>
  <c r="B18" i="3"/>
  <c r="J17" i="3"/>
  <c r="I17" i="3"/>
  <c r="H17" i="3"/>
  <c r="G17" i="3"/>
  <c r="F17" i="3"/>
  <c r="E17" i="3"/>
  <c r="D17" i="3"/>
  <c r="C17" i="3"/>
  <c r="B17" i="3"/>
  <c r="J16" i="3"/>
  <c r="I16" i="3"/>
  <c r="H16" i="3"/>
  <c r="G16" i="3"/>
  <c r="F16" i="3"/>
  <c r="E16" i="3"/>
  <c r="D16" i="3"/>
  <c r="C16" i="3"/>
  <c r="B16" i="3"/>
  <c r="J15" i="3"/>
  <c r="I15" i="3"/>
  <c r="H15" i="3"/>
  <c r="G15" i="3"/>
  <c r="F15" i="3"/>
  <c r="E15" i="3"/>
  <c r="D15" i="3"/>
  <c r="C15" i="3"/>
  <c r="B15" i="3"/>
  <c r="J14" i="3"/>
  <c r="I14" i="3"/>
  <c r="H14" i="3"/>
  <c r="G14" i="3"/>
  <c r="F14" i="3"/>
  <c r="E14" i="3"/>
  <c r="D14" i="3"/>
  <c r="C14" i="3"/>
  <c r="B14" i="3"/>
  <c r="J13" i="3"/>
  <c r="I13" i="3"/>
  <c r="H13" i="3"/>
  <c r="G13" i="3"/>
  <c r="F13" i="3"/>
  <c r="E13" i="3"/>
  <c r="D13" i="3"/>
  <c r="C13" i="3"/>
  <c r="B13" i="3"/>
  <c r="J12" i="3"/>
  <c r="I12" i="3"/>
  <c r="H12" i="3"/>
  <c r="G12" i="3"/>
  <c r="F12" i="3"/>
  <c r="E12" i="3"/>
  <c r="D12" i="3"/>
  <c r="C12" i="3"/>
  <c r="B12" i="3"/>
  <c r="J11" i="3"/>
  <c r="I11" i="3"/>
  <c r="H11" i="3"/>
  <c r="G11" i="3"/>
  <c r="F11" i="3"/>
  <c r="E11" i="3"/>
  <c r="D11" i="3"/>
  <c r="C11" i="3"/>
  <c r="B11" i="3"/>
  <c r="J10" i="3"/>
  <c r="I10" i="3"/>
  <c r="H10" i="3"/>
  <c r="G10" i="3"/>
  <c r="F10" i="3"/>
  <c r="E10" i="3"/>
  <c r="D10" i="3"/>
  <c r="C10" i="3"/>
  <c r="B10" i="3"/>
  <c r="D6" i="3"/>
  <c r="C6" i="3"/>
  <c r="B6" i="3"/>
  <c r="D4" i="3"/>
  <c r="C4" i="3"/>
  <c r="B4" i="3"/>
</calcChain>
</file>

<file path=xl/sharedStrings.xml><?xml version="1.0" encoding="utf-8"?>
<sst xmlns="http://schemas.openxmlformats.org/spreadsheetml/2006/main" count="842" uniqueCount="462">
  <si>
    <t>Weekly Summary Dashboard</t>
  </si>
  <si>
    <t>Dev Log &amp; Tracker</t>
  </si>
  <si>
    <t>Task ID</t>
  </si>
  <si>
    <t>Total Open Tasks</t>
  </si>
  <si>
    <t>Phase</t>
  </si>
  <si>
    <t>Type</t>
  </si>
  <si>
    <t>Task Title</t>
  </si>
  <si>
    <t>Description</t>
  </si>
  <si>
    <t>Reference (if any)</t>
  </si>
  <si>
    <t xml:space="preserve">Assigned To </t>
  </si>
  <si>
    <t>Status</t>
  </si>
  <si>
    <t>Notes</t>
  </si>
  <si>
    <t>TSK-001</t>
  </si>
  <si>
    <t>Sprint Week</t>
  </si>
  <si>
    <t>Phase 0 - Foundations</t>
  </si>
  <si>
    <t>Tasks In Progress</t>
  </si>
  <si>
    <t>Tasks Ready for Review</t>
  </si>
  <si>
    <t>Task ID/Name</t>
  </si>
  <si>
    <t>Feature / Project Area</t>
  </si>
  <si>
    <t>Task Description</t>
  </si>
  <si>
    <t>Priority</t>
  </si>
  <si>
    <t>Assigned To</t>
  </si>
  <si>
    <t>Backend</t>
  </si>
  <si>
    <t>Reviewer</t>
  </si>
  <si>
    <t>Start Date</t>
  </si>
  <si>
    <t>Target Completion Date</t>
  </si>
  <si>
    <t>Completion Date</t>
  </si>
  <si>
    <t>Pull Request / Merge Link</t>
  </si>
  <si>
    <t>Progress Notes</t>
  </si>
  <si>
    <t>Design seller identity model</t>
  </si>
  <si>
    <t>Blockers / Issues</t>
  </si>
  <si>
    <t>Next Steps</t>
  </si>
  <si>
    <t>Decide whether sellers can be individual creators (not just verified brands) before writing the catalog service — this changes several foreign keys.</t>
  </si>
  <si>
    <t>Carry Over to Next Week (Y/N)</t>
  </si>
  <si>
    <t>m</t>
  </si>
  <si>
    <t>TSK-002</t>
  </si>
  <si>
    <t>Migration: merch_products &amp; merch_variants tables</t>
  </si>
  <si>
    <t>Create merch_products and merch_variants tables (SKU, size/color variants, pricing in INR/USD cents, stock_qty, weight, print_file_url, artwork_id link).</t>
  </si>
  <si>
    <t>Section 04 - Schema additions</t>
  </si>
  <si>
    <t>Project Management</t>
  </si>
  <si>
    <t>Create a spreadsheet for tracking development progress weekly and logging changes to the platform code.</t>
  </si>
  <si>
    <t>TSK-003</t>
  </si>
  <si>
    <t>Migration: print_providers table</t>
  </si>
  <si>
    <t>Create print_providers table to store POD partner config (Printful/Printify/manual) with integration_type and api_config jsonb.</t>
  </si>
  <si>
    <t>TSK-004</t>
  </si>
  <si>
    <t>Seller onboarding API + KYC service</t>
  </si>
  <si>
    <t>Build onboarding API endpoints for new sellers, reusing brand_verification_requests pattern for KYC/KYB where applicable.</t>
  </si>
  <si>
    <t>Medium</t>
  </si>
  <si>
    <t>Section 01 - Existing INFRA / Section 07 Q1</t>
  </si>
  <si>
    <t>Joey</t>
  </si>
  <si>
    <t>TSK-005</t>
  </si>
  <si>
    <t>Tasks Merged</t>
  </si>
  <si>
    <t>Tasks Completed</t>
  </si>
  <si>
    <t>Frontend</t>
  </si>
  <si>
    <t>Completion Rate %</t>
  </si>
  <si>
    <t>Complete</t>
  </si>
  <si>
    <t>Seller onboarding UI flow</t>
  </si>
  <si>
    <t>Build the multi-step seller onboarding screens (profile, payout details, KYC document upload, verification status) consuming the onboarding API.</t>
  </si>
  <si>
    <t>TSK-006</t>
  </si>
  <si>
    <t>Seller dashboard shell</t>
  </si>
  <si>
    <t>Scaffold the seller dashboard shell/navigation (products, orders, payouts placeholders) that later phases will fill in.</t>
  </si>
  <si>
    <t>N/A</t>
  </si>
  <si>
    <t>Section 06 - Phase 0 deliverables</t>
  </si>
  <si>
    <t>Completed after our meeting, sent to the team</t>
  </si>
  <si>
    <t>Whole team gets on board and starts using this weekly.</t>
  </si>
  <si>
    <t>TSK-007</t>
  </si>
  <si>
    <t>Phase 1 - Standalone Merch</t>
  </si>
  <si>
    <t>Y</t>
  </si>
  <si>
    <t>June 5 push</t>
  </si>
  <si>
    <t>Build carts &amp; cart_items tables + API</t>
  </si>
  <si>
    <t>Create carts and cart_items tables and CRUD endpoints to support persistent multi-item, multi-seller shopping carts (item_type: license or merch_variant).</t>
  </si>
  <si>
    <t>Section 04 - Checkout schema</t>
  </si>
  <si>
    <t>Double footer</t>
  </si>
  <si>
    <t>Navigation/Menu</t>
  </si>
  <si>
    <t>TSK-008</t>
  </si>
  <si>
    <t xml:space="preserve">Fix the double footers that pop up on multiple pages. </t>
  </si>
  <si>
    <t>High</t>
  </si>
  <si>
    <t>Split order_items by seller_id</t>
  </si>
  <si>
    <t>Rafay</t>
  </si>
  <si>
    <t>Add seller_id, item_type, merch_variant_id, and cart_id columns to orders/order_items so a single order can span multiple sellers.</t>
  </si>
  <si>
    <t>TSK-009</t>
  </si>
  <si>
    <t>Build addresses table + API</t>
  </si>
  <si>
    <t>Create addresses table and endpoints for buyer shipping addresses (line1/2, city, state, postal_code, country, is_default).</t>
  </si>
  <si>
    <t>Section 04 - Fulfillment schema</t>
  </si>
  <si>
    <t>TSK-010</t>
  </si>
  <si>
    <t>Update Buttons</t>
  </si>
  <si>
    <t>Build fulfillments table + manual status update API</t>
  </si>
  <si>
    <t>Home Page</t>
  </si>
  <si>
    <t>Create fulfillments and fulfillment_items tables with manual status update endpoints (fulfillment_type = in_house_stock, no POD integration yet).</t>
  </si>
  <si>
    <t>Buttons: for brands, artists, view active</t>
  </si>
  <si>
    <t>Section 06 - Phase 1 deliverables</t>
  </si>
  <si>
    <t>TSK-011</t>
  </si>
  <si>
    <t>Merch catalog listing API</t>
  </si>
  <si>
    <t>Build read APIs for browsing/searching the small standalone merch catalog (product + variant listing, filters).</t>
  </si>
  <si>
    <t>Section 06 - Phase 1</t>
  </si>
  <si>
    <t>TSK-012</t>
  </si>
  <si>
    <t>Artist Logos</t>
  </si>
  <si>
    <t>About</t>
  </si>
  <si>
    <t>Merch catalog browse &amp; product detail pages</t>
  </si>
  <si>
    <t>Remove empty artist logos</t>
  </si>
  <si>
    <t>Build the storefront pages for browsing merch products, filtering, and viewing a product detail page with variant (size/color) selection.</t>
  </si>
  <si>
    <t>TSK-013</t>
  </si>
  <si>
    <t>Cart UI</t>
  </si>
  <si>
    <t>Build the cart drawer/page: add/remove items, quantity updates, mixed license + merch_variant line items, multi-seller grouping.</t>
  </si>
  <si>
    <t>TSK-014</t>
  </si>
  <si>
    <t>Checkout flow UI (address + payment)</t>
  </si>
  <si>
    <t>Build the checkout flow: address selection/entry, order summary split by seller, and payment step.</t>
  </si>
  <si>
    <t>Brand Properties listed</t>
  </si>
  <si>
    <t>TSK-015</t>
  </si>
  <si>
    <t>Super Admin</t>
  </si>
  <si>
    <t>Week</t>
  </si>
  <si>
    <t>Have Brand properties listed under brand owners</t>
  </si>
  <si>
    <t>Buyer address book UI</t>
  </si>
  <si>
    <t>Low</t>
  </si>
  <si>
    <t>Build the address book management screen (add/edit/delete/set default) on top of the addresses API.</t>
  </si>
  <si>
    <t>Dhruv</t>
  </si>
  <si>
    <t>Team Member</t>
  </si>
  <si>
    <t>Tasks Assigned</t>
  </si>
  <si>
    <t>TSK-016</t>
  </si>
  <si>
    <t>Seller manual fulfillment/shipping ops UI</t>
  </si>
  <si>
    <t>Build the internal seller-facing screen to view orders and manually mark fulfillment status (pending/shipped/delivered) with tracking info.</t>
  </si>
  <si>
    <t>Tasks Carried Over</t>
  </si>
  <si>
    <t>Major Accomplishments</t>
  </si>
  <si>
    <t>TSK-017</t>
  </si>
  <si>
    <t>Blockers</t>
  </si>
  <si>
    <t>Support Needed Next Week</t>
  </si>
  <si>
    <t>Phase 2 - Fanart-linked Merch + POD</t>
  </si>
  <si>
    <t>artist button 404</t>
  </si>
  <si>
    <t>artist button 404 fix</t>
  </si>
  <si>
    <t>Integrate Printful/Printify</t>
  </si>
  <si>
    <t>Build the print-on-demand integration with Printful/Printify, including order-status webhooks (the main async path in the system).</t>
  </si>
  <si>
    <t>Section 05 - Fulfillment svc / Section 06 - Phase 2</t>
  </si>
  <si>
    <t>TSK-018</t>
  </si>
  <si>
    <t>Build print_file_url pipeline off cdn_files</t>
  </si>
  <si>
    <t>Build the pipeline that generates/serves print-ready files from the existing cdn_files asset registry.</t>
  </si>
  <si>
    <t>Section 06 - Phase 2 deliverables</t>
  </si>
  <si>
    <t>Owner Profile</t>
  </si>
  <si>
    <t>TSK-019</t>
  </si>
  <si>
    <t>Brand, Super Admin</t>
  </si>
  <si>
    <t>Owner profile separate from Brands tab</t>
  </si>
  <si>
    <t>Turn on artwork_id linking on merch_products</t>
  </si>
  <si>
    <t>Enable linking a merch_product to its originating artwork so contest-winning/brand fanart can be sold as merch.</t>
  </si>
  <si>
    <t>Section 04 / Section 06 - Phase 2</t>
  </si>
  <si>
    <t>TSK-020</t>
  </si>
  <si>
    <t>'Turn artwork into merch' API</t>
  </si>
  <si>
    <t>Build the backend endpoint(s) that take an approved artwork and generate a draft merch_product/variant with print_file_url set.</t>
  </si>
  <si>
    <t>TSK-021</t>
  </si>
  <si>
    <t>Header/Footer</t>
  </si>
  <si>
    <t>Brand, Navigation/Menu</t>
  </si>
  <si>
    <t>No header and footer</t>
  </si>
  <si>
    <t>'Turn this artwork into merch' creator flow UI</t>
  </si>
  <si>
    <t>Build the creator-facing flow: pick a product template, preview artwork-on-product mockup, set pricing, and publish the merch listing.</t>
  </si>
  <si>
    <t>TSK-022</t>
  </si>
  <si>
    <t>POD order status &amp; tracking UI</t>
  </si>
  <si>
    <t>Surface print-provider order status (in production/shipped/delivered/failed) to buyers and sellers, driven by the webhook-updated fulfillment records.</t>
  </si>
  <si>
    <t>Section 05 - Fulfillment svc</t>
  </si>
  <si>
    <t>Website Content Doc</t>
  </si>
  <si>
    <t>Website Content</t>
  </si>
  <si>
    <t>TSK-023</t>
  </si>
  <si>
    <t>Create a doc with content for Dhruv to update including: past campaigns, fan artist users, licensed fan work, etc.</t>
  </si>
  <si>
    <t>Resolve licensing-before-print question</t>
  </si>
  <si>
    <t>Determine whether printing someone else's artwork onto merch requires a commercial license purchase or a separate merch-rights grant, and whether merch_products needs a license_id FK.</t>
  </si>
  <si>
    <t>Open Question #2</t>
  </si>
  <si>
    <t>In Progress</t>
  </si>
  <si>
    <t>TSK-024</t>
  </si>
  <si>
    <t>Phase 3 - Payouts, Reviews, Trust</t>
  </si>
  <si>
    <t>Nav Bar update</t>
  </si>
  <si>
    <t xml:space="preserve">Fix Nav bar to be correct pages in web </t>
  </si>
  <si>
    <t>Build payouts ledger + Stripe Connect transfers</t>
  </si>
  <si>
    <t>Create the payouts table (gross/platform_fee/net cents, status, stripe_transfer_id) and automate seller payouts against Stripe Connect.</t>
  </si>
  <si>
    <t>Section 04 - Money schema / Section 06 - Phase 3</t>
  </si>
  <si>
    <t>Desktop verson is complete but mobile version is still old nav bar options.</t>
  </si>
  <si>
    <t>TSK-025</t>
  </si>
  <si>
    <t>Button Hover</t>
  </si>
  <si>
    <t>Define platform fee rule table</t>
  </si>
  <si>
    <t>Decide whether platform fee is flat or varies by fulfillment/product type (POD margins are thinner than digital licenses) and build the rule table accordingly.</t>
  </si>
  <si>
    <t>Remove button hover</t>
  </si>
  <si>
    <t>Open Question #3</t>
  </si>
  <si>
    <t>TSK-026</t>
  </si>
  <si>
    <t>Build product_reviews table + API</t>
  </si>
  <si>
    <t>Create product_reviews table (reviewer, target_type: artwork/merch_product, order_item_id for verified purchase, rating, body) and endpoints to submit/fetch reviews.</t>
  </si>
  <si>
    <t>June 12 push</t>
  </si>
  <si>
    <t>Update Image</t>
  </si>
  <si>
    <t>TSK-027</t>
  </si>
  <si>
    <t>Guidelines</t>
  </si>
  <si>
    <t>Update images with ones provided in Whatsapp group</t>
  </si>
  <si>
    <t>Extend moderation_queue to merch listings</t>
  </si>
  <si>
    <t>Pratyank</t>
  </si>
  <si>
    <t>Extend the existing generic moderation_queue (entity_type/entity_id) to cover merch listing moderation.</t>
  </si>
  <si>
    <t>Section 06 - Phase 3 deliverables</t>
  </si>
  <si>
    <t>TSK-028</t>
  </si>
  <si>
    <t>Seller payouts dashboard</t>
  </si>
  <si>
    <t>Build the seller-facing payouts screen: pending/paid balances, per-order breakdown, and Stripe Connect payout status.</t>
  </si>
  <si>
    <t>Remove some sections</t>
  </si>
  <si>
    <t>Remove following sections: Popular IP-Specific Guidelines, Additional Resources</t>
  </si>
  <si>
    <t>TSK-029</t>
  </si>
  <si>
    <t>Reviews &amp; ratings UI</t>
  </si>
  <si>
    <t>Build the review submission form (for verified buyers) and the display of ratings/reviews on artwork and merch product pages.</t>
  </si>
  <si>
    <t>TSK-030</t>
  </si>
  <si>
    <t xml:space="preserve">Discord link </t>
  </si>
  <si>
    <t>keep artist community link and add Discord link</t>
  </si>
  <si>
    <t>Merch moderation queue UI</t>
  </si>
  <si>
    <t>Extend the existing moderation admin UI to show and action merch listings alongside other moderation entity types.</t>
  </si>
  <si>
    <t>TSK-031</t>
  </si>
  <si>
    <t>Cross-cutting / Open Questions</t>
  </si>
  <si>
    <t>Guidelines PDF</t>
  </si>
  <si>
    <t>keep addtional resources link to pdf</t>
  </si>
  <si>
    <t>Scope international shipping &amp; tax</t>
  </si>
  <si>
    <t>Decide whether international shipping, customs/duty, and tax-jurisdiction handling are in scope for Phase 1 or explicitly deferred to a later phase.</t>
  </si>
  <si>
    <t>Open Question #4</t>
  </si>
  <si>
    <t>Update Section</t>
  </si>
  <si>
    <t>TSK-032</t>
  </si>
  <si>
    <t>Update the Ready to submit your fan art? section at the bottom of the page.</t>
  </si>
  <si>
    <t>Decide sync vs async architecture boundary</t>
  </si>
  <si>
    <t>Confirm that only print-provider webhooks and payout triggers are async (via a Postgres outbox table for now); everything else stays synchronous through the gateway.</t>
  </si>
  <si>
    <t>Section 05 - Service boundaries</t>
  </si>
  <si>
    <t>TSK-033</t>
  </si>
  <si>
    <t>Define service ownership boundaries</t>
  </si>
  <si>
    <t>Page spacing</t>
  </si>
  <si>
    <t>Book a Demo</t>
  </si>
  <si>
    <t>Formalize the 5 service boundaries (Catalog, Commerce, Fulfillment, Payouts, Contests+Brand) within the shared Postgres so teams can own a slice without stepping on each other.</t>
  </si>
  <si>
    <t>Section 05 - Service boundaries diagram</t>
  </si>
  <si>
    <t>Fix Spacing between top of page and nav bar</t>
  </si>
  <si>
    <t>TSK-034</t>
  </si>
  <si>
    <t>API contract review with frontend team</t>
  </si>
  <si>
    <t>Frontend sync with backend on request/response shapes for cart, checkout, fulfillment, and payouts endpoints before UI build-out per phase.</t>
  </si>
  <si>
    <t>This is fixed on desktop but still showing issues on mobile.</t>
  </si>
  <si>
    <t>June 12/22 push</t>
  </si>
  <si>
    <t>Clean up Mobile</t>
  </si>
  <si>
    <t>Various Pages</t>
  </si>
  <si>
    <t>Clean up the spacing of headers on each page for Mobile view</t>
  </si>
  <si>
    <t>Mobile page spacing</t>
  </si>
  <si>
    <t>Fix spacing on mobile</t>
  </si>
  <si>
    <t>Combine sections</t>
  </si>
  <si>
    <t>Combine the Request Your Brand and Book a Demo section into one. Remove the appt options and scheduling and just add that our Team will be in touch to book a demo and then the demo details from the Book a Demo section</t>
  </si>
  <si>
    <t>Add how did you hear about us</t>
  </si>
  <si>
    <t>Add Discord and input field for Other options for  how did you hear about us</t>
  </si>
  <si>
    <t>Rafay -&gt; Pratyank</t>
  </si>
  <si>
    <t>Date picker not selecting date</t>
  </si>
  <si>
    <t>Create Opportunity</t>
  </si>
  <si>
    <t>Fix error where date picker not selecting date</t>
  </si>
  <si>
    <t>Not Started</t>
  </si>
  <si>
    <t>Days Alignment</t>
  </si>
  <si>
    <t>Fix days alignment off</t>
  </si>
  <si>
    <t>Fix upload image</t>
  </si>
  <si>
    <t>upload image not working</t>
  </si>
  <si>
    <t>Create New Accounts (Brand Owners)</t>
  </si>
  <si>
    <t>Signup/Login, Super Admin</t>
  </si>
  <si>
    <t xml:space="preserve">Fix so we can create new accounts with no issues and login to existing accounts with new issues. </t>
  </si>
  <si>
    <t>Dhruv -&gt; Jyotishmoy</t>
  </si>
  <si>
    <t>Create New Accounts (Fan Artists)</t>
  </si>
  <si>
    <t xml:space="preserve">Fix so we can create new accounts for fan artists with no issues. </t>
  </si>
  <si>
    <t>Test accounts</t>
  </si>
  <si>
    <t>Signup/Login, Dashboard</t>
  </si>
  <si>
    <t xml:space="preserve">Create test accounts for team to login </t>
  </si>
  <si>
    <t>Featured Campaigns style</t>
  </si>
  <si>
    <t>Update featured campaigns to remove the infringement images and template campaigns. Replace with feed of current/live campaigns or preset ones from old/new campaigns.</t>
  </si>
  <si>
    <t>Select Featured Campaigns</t>
  </si>
  <si>
    <t>Create a function for marking featured campaigns in the Super Admin</t>
  </si>
  <si>
    <t>Featured Campaigns Section</t>
  </si>
  <si>
    <t>Create section for featured campaigns to display</t>
  </si>
  <si>
    <t>Backend Migration</t>
  </si>
  <si>
    <t xml:space="preserve">Migrating Node.js to Nest.js server architecture </t>
  </si>
  <si>
    <t>Dhruv, Aakash</t>
  </si>
  <si>
    <t>Blocked</t>
  </si>
  <si>
    <t>Signup Workflow</t>
  </si>
  <si>
    <t>Signup/Login</t>
  </si>
  <si>
    <t>Fix the registering of brand owners and fan artists accounts when signing up</t>
  </si>
  <si>
    <t>Dhruv, Jyotishmoy</t>
  </si>
  <si>
    <t>Shift Manual Auth to Firebase</t>
  </si>
  <si>
    <t>Auth</t>
  </si>
  <si>
    <t>Shift the current manual auth apis to firebase sdk instead</t>
  </si>
  <si>
    <t>Aakash</t>
  </si>
  <si>
    <t xml:space="preserve">Add Coolify to VPS </t>
  </si>
  <si>
    <t>Core/Devops</t>
  </si>
  <si>
    <t>Shift the projects and db to Coolify instead</t>
  </si>
  <si>
    <t>Make a weekly database backup cron job</t>
  </si>
  <si>
    <t>DB Backups</t>
  </si>
  <si>
    <t>Add a weekly automated cron job that makes backup of the db and saves it locally on the VPS itself</t>
  </si>
  <si>
    <t>Ready for Review</t>
  </si>
  <si>
    <t>Update platform T&amp;S date</t>
  </si>
  <si>
    <t>Terms of Service</t>
  </si>
  <si>
    <r>
      <rPr>
        <sz val="10"/>
        <color rgb="FF1A1B1F"/>
        <rFont val="Roboto"/>
      </rPr>
      <t xml:space="preserve">Platform Terms of Service date needs to be fixed: Updated June 23, 2026: </t>
    </r>
    <r>
      <rPr>
        <u/>
        <sz val="10"/>
        <color rgb="FF1155CC"/>
        <rFont val="Roboto"/>
      </rPr>
      <t>https://www.modfanofficial.com/legal/terms-and-service</t>
    </r>
  </si>
  <si>
    <t>Transfer/create submission terms of service and link to each Opportunity/contest page</t>
  </si>
  <si>
    <t>Terms of Service, Opportunity Pages</t>
  </si>
  <si>
    <t xml:space="preserve">Make sure the submissions terms of service has it’s own page and is linked for each contest/opportunity page: https://modfanart.com/pages/submission-terms-and-conditions (need to update “MOD INC.” name to “MOD Fan Official”. 
create a page for contest submissions terms, you can find the terms data in lib/terms-data/contestSubmissionSections.ts and use the terms-section.tsx component to display it
</t>
  </si>
  <si>
    <t>Authentication for librarians page</t>
  </si>
  <si>
    <t>Authentication, The Librarians, Opportunty Page</t>
  </si>
  <si>
    <t>Authentication for the Librarians campaign page. Check if the are logged in for the page.</t>
  </si>
  <si>
    <t>Remove Welcome Art</t>
  </si>
  <si>
    <t>Gallery Page</t>
  </si>
  <si>
    <t>Remove Welcome Artwork in the gallery</t>
  </si>
  <si>
    <t>Update Artwork</t>
  </si>
  <si>
    <t>Update the artwork and gallery with past winner art.</t>
  </si>
  <si>
    <t>Joseph, Pratyank</t>
  </si>
  <si>
    <t>Remove sections in Profile</t>
  </si>
  <si>
    <t>Profile Settings</t>
  </si>
  <si>
    <t>Remove API, Billing (can keep hidden for later), and Security (Two Factor Authentication) pages)</t>
  </si>
  <si>
    <t>Jyotishmoy</t>
  </si>
  <si>
    <t>Upoad Profile picture</t>
  </si>
  <si>
    <t xml:space="preserve">Fix upload profile picture </t>
  </si>
  <si>
    <t>Rafay, Pratyank</t>
  </si>
  <si>
    <t>Two factor auth</t>
  </si>
  <si>
    <t>Profile, Security</t>
  </si>
  <si>
    <t>Setup TFA for users</t>
  </si>
  <si>
    <t>User name visibility fix</t>
  </si>
  <si>
    <t>All</t>
  </si>
  <si>
    <t>Fix the visibility of the username on top right for all pages in the Hero section</t>
  </si>
  <si>
    <t>Fix signup</t>
  </si>
  <si>
    <t>Sign up/ Login</t>
  </si>
  <si>
    <t>Fix GoogleAuth for signup and login</t>
  </si>
  <si>
    <t>Fix Lib contest entry</t>
  </si>
  <si>
    <t>The Librarians, Submissions</t>
  </si>
  <si>
    <t>Fix Librarians contest entry button to lead to sign up not submission page</t>
  </si>
  <si>
    <t>Get Submission flow ready</t>
  </si>
  <si>
    <t>Submissions, Dashboard</t>
  </si>
  <si>
    <t>Ensure submission upload page and workflow is functional and ready</t>
  </si>
  <si>
    <t>Jyotishmoy, Aakash</t>
  </si>
  <si>
    <t>Link T&amp;S to Lib contest</t>
  </si>
  <si>
    <t>Terms of Service, The Librarians</t>
  </si>
  <si>
    <t>Link new Submissions terms and conditions page to Librarians contest</t>
  </si>
  <si>
    <t>Replace hero image at Signup</t>
  </si>
  <si>
    <r>
      <rPr>
        <sz val="10"/>
        <color rgb="FF1A1B1F"/>
        <rFont val="Roboto"/>
      </rPr>
      <t xml:space="preserve">Replace image right side image with logo with new asset provided </t>
    </r>
    <r>
      <rPr>
        <u/>
        <sz val="10"/>
        <color rgb="FF1155CC"/>
        <rFont val="Roboto"/>
      </rPr>
      <t>HERE.</t>
    </r>
  </si>
  <si>
    <t>Remove for Creators page on mobile</t>
  </si>
  <si>
    <t>Menu Bar, Mobile</t>
  </si>
  <si>
    <t>Remove For Creators page in mobile view</t>
  </si>
  <si>
    <t>Remove hardcoded parts of the Dashboard</t>
  </si>
  <si>
    <t>Dashboard clean up</t>
  </si>
  <si>
    <t>Clean up and remove the sections and numbers that are hardcoded in the dashboards</t>
  </si>
  <si>
    <t>Create Electric Entertainment brand account</t>
  </si>
  <si>
    <t>Create EE brand Account</t>
  </si>
  <si>
    <t>Create EE brand account and librrians brand account</t>
  </si>
  <si>
    <t>Fix submission images in dashboard</t>
  </si>
  <si>
    <t>Dashboard, Submissions</t>
  </si>
  <si>
    <t>Fixing the images that show up on dashboard for submissions</t>
  </si>
  <si>
    <t>Praytank</t>
  </si>
  <si>
    <t xml:space="preserve">Fix refresh glitch </t>
  </si>
  <si>
    <t>404 Page, Login/Signup</t>
  </si>
  <si>
    <t>When refreshing the website or from a 404 page it automatically brings us to the login/signup page</t>
  </si>
  <si>
    <t>Allow for multi entry submissions</t>
  </si>
  <si>
    <t>Contests, Submissions</t>
  </si>
  <si>
    <t>Allow for multiple entries into the contest for submittors</t>
  </si>
  <si>
    <t>Allow for multi submissions</t>
  </si>
  <si>
    <t>allow for multiple submissions uploaded at a time</t>
  </si>
  <si>
    <t>allow for pdf files</t>
  </si>
  <si>
    <t>allow for pdf files to be uploaded</t>
  </si>
  <si>
    <t>increase file sizes for submissions</t>
  </si>
  <si>
    <t>increase file size of submissions allowed to be uploaded</t>
  </si>
  <si>
    <t>Create superadmin login for team</t>
  </si>
  <si>
    <t>Create new login credentials for workspace.modfanofficial admin/team dashboard</t>
  </si>
  <si>
    <t>Add header and logo nav</t>
  </si>
  <si>
    <t>Login/Signup</t>
  </si>
  <si>
    <t>Add the header and logo buttom to head back to main page from the dashboard, login/signup page, to easily navigate back to main page.</t>
  </si>
  <si>
    <t xml:space="preserve">Individual submission pages </t>
  </si>
  <si>
    <t>Dashboard, Submissions, Contests</t>
  </si>
  <si>
    <t xml:space="preserve">Build out the individual submission/artwork page with all notes and details </t>
  </si>
  <si>
    <t>Fix submission tags</t>
  </si>
  <si>
    <t>Submission page tags section is not working</t>
  </si>
  <si>
    <t>Add description and note to contest entry</t>
  </si>
  <si>
    <t>Add a Note section to the submission page</t>
  </si>
  <si>
    <t>Setup full contest and submission flow backend</t>
  </si>
  <si>
    <t>Contests, Submissions, Dashboard</t>
  </si>
  <si>
    <t>Create proper backend flow for creating new contests and submissions flow correctly connected to it. Review gaps Jyotishmoy shared and what is needed left.</t>
  </si>
  <si>
    <t>Aakash, Jyotishmoy, Pratyank</t>
  </si>
  <si>
    <t>Link artists and brand owners with contest ID</t>
  </si>
  <si>
    <t>How to link to artists and brand owners (through the submission?), contest ID to link them all?</t>
  </si>
  <si>
    <t>Create viewable approved artwork page</t>
  </si>
  <si>
    <t>Submisions, Dashboard</t>
  </si>
  <si>
    <t>Where do artwork go and are viewable once approved on brand side.</t>
  </si>
  <si>
    <t>Aakash, Jyotishmoy, Pratyank, Rafay</t>
  </si>
  <si>
    <t>Link EE account to Librarians contest</t>
  </si>
  <si>
    <t>Contests</t>
  </si>
  <si>
    <t xml:space="preserve">Link new EE account connect the Librarians contest to them to see and setup for approvals/judging. </t>
  </si>
  <si>
    <t>Switch domain to hostinger</t>
  </si>
  <si>
    <t>Server, Domain</t>
  </si>
  <si>
    <t>Connect domain to hostinger to move away from vercel</t>
  </si>
  <si>
    <t>Fix submission showing in Gallery</t>
  </si>
  <si>
    <t>Gallery, Backend</t>
  </si>
  <si>
    <t>Fixing so submissions don't automatically show up in the main gallery for everyone, they should only show approved and licesned artwork there</t>
  </si>
  <si>
    <t>Fix contest submit art button to dashboard for logged in</t>
  </si>
  <si>
    <t>Contest Page, Dashboard, Login</t>
  </si>
  <si>
    <t>if logged in the submit art on contest page takes you to the login page, would be best to take it to dashboard directly to the submit page</t>
  </si>
  <si>
    <t>Login Issues with firebase</t>
  </si>
  <si>
    <t>Login, User</t>
  </si>
  <si>
    <t xml:space="preserve">User getting logged out and also having login in issues using google auth. Seems to be a firebase issue. </t>
  </si>
  <si>
    <t>Fix Dashboard Setting button</t>
  </si>
  <si>
    <t>Dashboard</t>
  </si>
  <si>
    <t>Dashboard setting button on the bottom is fixed and connected to settings page.</t>
  </si>
  <si>
    <t>rafay</t>
  </si>
  <si>
    <t>Update dashboard top right menu to full one</t>
  </si>
  <si>
    <t>The dropdown menu at top right when clicking name is not appear in the dashboard, have it reappear there</t>
  </si>
  <si>
    <t>Upload Favicon</t>
  </si>
  <si>
    <t>Favicon</t>
  </si>
  <si>
    <t xml:space="preserve">favicon is missing </t>
  </si>
  <si>
    <t>Fix timezone options</t>
  </si>
  <si>
    <t>Settings, Account</t>
  </si>
  <si>
    <t xml:space="preserve">Update Settings so you can choose EST and other timezones. </t>
  </si>
  <si>
    <t>Fix failed to create artwork issue</t>
  </si>
  <si>
    <t>Submissions, The Librarians</t>
  </si>
  <si>
    <t>Failed to create artwork issue coming up for user on mobile and desktop</t>
  </si>
  <si>
    <t>Complete migration away from AWS</t>
  </si>
  <si>
    <t>Server</t>
  </si>
  <si>
    <t>Full complete migration from AWS to Hostinger or other s3 services</t>
  </si>
  <si>
    <t>Dashboard welcome back name</t>
  </si>
  <si>
    <t>Dashboard welcome back name hardcoded</t>
  </si>
  <si>
    <t>Old contest page link</t>
  </si>
  <si>
    <t>linking to old contest page</t>
  </si>
  <si>
    <t>Dashboard - View All Submissions</t>
  </si>
  <si>
    <t>Brand Manager Dashboard</t>
  </si>
  <si>
    <t>The brand account dashboard currently caps at ~20 submissions with no way to see the rest</t>
  </si>
  <si>
    <t>Submission Detail View - Full Image + Form Metadata</t>
  </si>
  <si>
    <t>Clicking a submission on the dashboard should open a full detail view showing the full-size artwork image plus all metadata</t>
  </si>
  <si>
    <t>Fix dashboard images</t>
  </si>
  <si>
    <t>⁠ ⁠Fix images showing now loading/showing on the platform dashboards (need to be able to see the entries).</t>
  </si>
  <si>
    <t>Super admin credentials</t>
  </si>
  <si>
    <t xml:space="preserve">Access to the mod super admin workspace. Need the new credentials for this so we can see all users, brand requests, and inquires that have come in through the website. </t>
  </si>
  <si>
    <t>Submission page details</t>
  </si>
  <si>
    <t>Submissions</t>
  </si>
  <si>
    <t xml:space="preserve">Each submission page that shows that submission image or multiple images, all the inputs from the submission form, and the AI check results. </t>
  </si>
  <si>
    <t>Rafay/Pratyank</t>
  </si>
  <si>
    <t>Prepare judging system</t>
  </si>
  <si>
    <t>Judging</t>
  </si>
  <si>
    <t xml:space="preserve"> ⁠Prepare the judging system for when librarians contest ends. We will need to send the judging links to the librarians team.</t>
  </si>
  <si>
    <t>Judging backend endpoints</t>
  </si>
  <si>
    <t>Backend/Judging</t>
  </si>
  <si>
    <t xml:space="preserve">Fix backend enpoints for juding system </t>
  </si>
  <si>
    <t>PDF image preview</t>
  </si>
  <si>
    <t>pdf image preview for submissions needs to be fixed, replace with placeholder PDF image so it's not showing like an eerror</t>
  </si>
  <si>
    <t>Judging next phase</t>
  </si>
  <si>
    <t xml:space="preserve">Complete next phase of judging to show results, select final winners, and generate shareable link to view the top 10 (internal link for brand team/final look over). </t>
  </si>
  <si>
    <t>AI system UI</t>
  </si>
  <si>
    <t>Frontend/AI</t>
  </si>
  <si>
    <t xml:space="preserve">Create frontend/UI of the AI system and integrating the script into our system. </t>
  </si>
  <si>
    <t>Aakash, Pratyank, Rafay</t>
  </si>
  <si>
    <t>Marketplace plan</t>
  </si>
  <si>
    <t>Marketplace</t>
  </si>
  <si>
    <t xml:space="preserve">Next phase Marketplace plan creation and implementation </t>
  </si>
  <si>
    <t>Copy judging password</t>
  </si>
  <si>
    <t xml:space="preserve">Unable to copy Judging password from popup that appears when creating juding account. </t>
  </si>
  <si>
    <t>Brand account creation error</t>
  </si>
  <si>
    <t>Super Admin/Judging</t>
  </si>
  <si>
    <t>Error appeared when creating brand account through juding link: Submission failed: Collumn "contact_email"of relation "brand_verification_requests" does not exist</t>
  </si>
  <si>
    <t>Login page standard</t>
  </si>
  <si>
    <t>Login/Backend</t>
  </si>
  <si>
    <t>Fix login page and backend to industry standard</t>
  </si>
  <si>
    <t>Update contest results</t>
  </si>
  <si>
    <t>Update contest results with finalized licensing and selected artwork</t>
  </si>
  <si>
    <t>Merged</t>
  </si>
  <si>
    <t>AI system integration</t>
  </si>
  <si>
    <t>AI</t>
  </si>
  <si>
    <t>Connect with Aakash on AI system and figure out integration into the front end, for submission checks for campaigns and always on submissions</t>
  </si>
  <si>
    <t>Marketplace tasks</t>
  </si>
  <si>
    <t>Decide and assign tasks for Marketplace roll out</t>
  </si>
  <si>
    <t>Licensing workflow doc</t>
  </si>
  <si>
    <t>Licensing</t>
  </si>
  <si>
    <t>Assess licensing workflow and create doc to get team aligned</t>
  </si>
  <si>
    <t>Github security filtration</t>
  </si>
  <si>
    <t>Github/Security</t>
  </si>
  <si>
    <t xml:space="preserve">Github filtration to clean up security issues. </t>
  </si>
  <si>
    <t>Add .git ignore file</t>
  </si>
  <si>
    <t>Github</t>
  </si>
  <si>
    <t>.git ignore file added to our Github so that it ignores file types that it specifiies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</si>
</sst>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yyyy\-mm\-dd"/>
    <numFmt numFmtId="166" formatCode="0.0%"/>
  </numFmts>
  <fonts count="14" x14ac:knownFonts="1">
    <font>
      <sz val="10"/>
      <color rgb="FF000000"/>
      <name val="Arial"/>
      <scheme val="minor"/>
    </font>
    <font>
      <b/>
      <sz val="18"/>
      <color rgb="FF435E91"/>
      <name val="Montserrat"/>
    </font>
    <font>
      <b/>
      <sz val="11"/>
      <color rgb="FFFFFFFF"/>
      <name val="Arial"/>
    </font>
    <font>
      <sz val="10"/>
      <color theme="1"/>
      <name val="Arial"/>
    </font>
    <font>
      <b/>
      <sz val="10"/>
      <color rgb="FF72757C"/>
      <name val="Montserrat"/>
    </font>
    <font>
      <b/>
      <sz val="10"/>
      <color rgb="FFFFFFFF"/>
      <name val="Montserrat"/>
    </font>
    <font>
      <sz val="10"/>
      <color rgb="FF1A1B1F"/>
      <name val="Roboto"/>
    </font>
    <font>
      <b/>
      <sz val="24"/>
      <color rgb="FF284477"/>
      <name val="Roboto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u/>
      <sz val="10"/>
      <color rgb="FF1A1B1F"/>
      <name val="Roboto"/>
    </font>
    <font>
      <u/>
      <sz val="10"/>
      <color rgb="FF0000FF"/>
      <name val="Roboto"/>
    </font>
    <font>
      <u/>
      <sz val="10"/>
      <color rgb="FF1155CC"/>
      <name val="Roboto"/>
    </font>
  </fonts>
  <fills count="12">
    <fill>
      <patternFill patternType="none"/>
    </fill>
    <fill>
      <patternFill patternType="gray125"/>
    </fill>
    <fill>
      <patternFill patternType="solid">
        <fgColor rgb="FF1F2229"/>
        <bgColor rgb="FF1F2229"/>
      </patternFill>
    </fill>
    <fill>
      <patternFill patternType="solid">
        <fgColor rgb="FFF4F4F9"/>
        <bgColor rgb="FFF4F4F9"/>
      </patternFill>
    </fill>
    <fill>
      <patternFill patternType="solid">
        <fgColor rgb="FF435E91"/>
        <bgColor rgb="FF435E91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vertical="top" wrapText="1"/>
    </xf>
    <xf numFmtId="0" fontId="7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vertical="top" wrapText="1"/>
    </xf>
    <xf numFmtId="0" fontId="3" fillId="7" borderId="1" xfId="0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8" fillId="0" borderId="2" xfId="0" applyFont="1" applyBorder="1"/>
    <xf numFmtId="166" fontId="7" fillId="3" borderId="0" xfId="0" applyNumberFormat="1" applyFont="1" applyFill="1" applyAlignment="1">
      <alignment horizontal="center" vertical="center"/>
    </xf>
    <xf numFmtId="0" fontId="3" fillId="9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vertical="top" wrapText="1"/>
    </xf>
    <xf numFmtId="0" fontId="9" fillId="0" borderId="2" xfId="0" applyFont="1" applyBorder="1"/>
    <xf numFmtId="165" fontId="10" fillId="0" borderId="2" xfId="0" applyNumberFormat="1" applyFont="1" applyBorder="1"/>
    <xf numFmtId="0" fontId="11" fillId="0" borderId="2" xfId="0" applyFont="1" applyBorder="1" applyAlignment="1">
      <alignment vertical="top" wrapText="1"/>
    </xf>
    <xf numFmtId="0" fontId="10" fillId="0" borderId="2" xfId="0" applyFont="1" applyBorder="1"/>
    <xf numFmtId="165" fontId="10" fillId="0" borderId="0" xfId="0" applyNumberFormat="1" applyFont="1"/>
    <xf numFmtId="0" fontId="12" fillId="0" borderId="2" xfId="0" applyFont="1" applyBorder="1" applyAlignment="1">
      <alignment vertical="top" wrapText="1"/>
    </xf>
    <xf numFmtId="0" fontId="10" fillId="0" borderId="0" xfId="0" applyFont="1"/>
  </cellXfs>
  <cellStyles count="1">
    <cellStyle name="Normal" xfId="0" builtinId="0"/>
  </cellStyles>
  <dxfs count="4">
    <dxf>
      <fill>
        <patternFill patternType="solid">
          <fgColor rgb="FFFFE5E5"/>
          <bgColor rgb="FFFFE5E5"/>
        </patternFill>
      </fill>
    </dxf>
    <dxf>
      <fill>
        <patternFill patternType="solid">
          <fgColor rgb="FFE5FFE5"/>
          <bgColor rgb="FFE5FFE5"/>
        </patternFill>
      </fill>
    </dxf>
    <dxf>
      <fill>
        <patternFill patternType="solid">
          <fgColor rgb="FFFFE5E5"/>
          <bgColor rgb="FFFFE5E5"/>
        </patternFill>
      </fill>
    </dxf>
    <dxf>
      <fill>
        <patternFill patternType="solid">
          <fgColor rgb="FFE5FFE5"/>
          <bgColor rgb="FFE5FF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jdIfmCDchAA-gRvWYvvPg13EPEXmnFy1?usp=drive_link" TargetMode="External"/><Relationship Id="rId2" Type="http://schemas.openxmlformats.org/officeDocument/2006/relationships/hyperlink" Target="https://drive.google.com/file/d/1iQZvf3w_pNLZZm0GLGFMYj_8W2vMuMFA/view?usp=sharing" TargetMode="External"/><Relationship Id="rId1" Type="http://schemas.openxmlformats.org/officeDocument/2006/relationships/hyperlink" Target="https://www.modfanofficial.com/legal/terms-and-serv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8.7109375" customWidth="1"/>
    <col min="2" max="2" width="22.7109375" customWidth="1"/>
    <col min="3" max="3" width="10.42578125" customWidth="1"/>
    <col min="4" max="4" width="28" customWidth="1"/>
    <col min="5" max="5" width="50.7109375" customWidth="1"/>
    <col min="6" max="6" width="28" customWidth="1"/>
    <col min="7" max="7" width="19.28515625" customWidth="1"/>
    <col min="8" max="8" width="12.28515625" customWidth="1"/>
    <col min="9" max="9" width="21" customWidth="1"/>
    <col min="10" max="26" width="7.5703125" customWidth="1"/>
  </cols>
  <sheetData>
    <row r="1" spans="1:9" ht="27.75" customHeight="1" x14ac:dyDescent="0.2">
      <c r="A1" s="2" t="s">
        <v>2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</row>
    <row r="2" spans="1:9" ht="38.25" x14ac:dyDescent="0.2">
      <c r="A2" s="3" t="s">
        <v>12</v>
      </c>
      <c r="B2" s="6" t="s">
        <v>14</v>
      </c>
      <c r="C2" s="7" t="s">
        <v>22</v>
      </c>
      <c r="D2" s="3" t="s">
        <v>29</v>
      </c>
      <c r="E2" s="3" t="s">
        <v>32</v>
      </c>
      <c r="F2" s="3" t="s">
        <v>34</v>
      </c>
      <c r="G2" s="3"/>
      <c r="H2" s="10"/>
      <c r="I2" s="3"/>
    </row>
    <row r="3" spans="1:9" ht="38.25" x14ac:dyDescent="0.2">
      <c r="A3" s="3" t="s">
        <v>35</v>
      </c>
      <c r="B3" s="6" t="s">
        <v>14</v>
      </c>
      <c r="C3" s="7" t="s">
        <v>22</v>
      </c>
      <c r="D3" s="3" t="s">
        <v>36</v>
      </c>
      <c r="E3" s="3" t="s">
        <v>37</v>
      </c>
      <c r="F3" s="3" t="s">
        <v>38</v>
      </c>
      <c r="G3" s="3"/>
      <c r="H3" s="10"/>
      <c r="I3" s="3"/>
    </row>
    <row r="4" spans="1:9" ht="38.25" x14ac:dyDescent="0.2">
      <c r="A4" s="3" t="s">
        <v>41</v>
      </c>
      <c r="B4" s="6" t="s">
        <v>14</v>
      </c>
      <c r="C4" s="7" t="s">
        <v>22</v>
      </c>
      <c r="D4" s="3" t="s">
        <v>42</v>
      </c>
      <c r="E4" s="3" t="s">
        <v>43</v>
      </c>
      <c r="F4" s="3" t="s">
        <v>38</v>
      </c>
      <c r="G4" s="3"/>
      <c r="H4" s="10"/>
      <c r="I4" s="3"/>
    </row>
    <row r="5" spans="1:9" ht="38.25" x14ac:dyDescent="0.2">
      <c r="A5" s="3" t="s">
        <v>44</v>
      </c>
      <c r="B5" s="6" t="s">
        <v>14</v>
      </c>
      <c r="C5" s="7" t="s">
        <v>22</v>
      </c>
      <c r="D5" s="3" t="s">
        <v>45</v>
      </c>
      <c r="E5" s="3" t="s">
        <v>46</v>
      </c>
      <c r="F5" s="3" t="s">
        <v>48</v>
      </c>
      <c r="G5" s="3"/>
      <c r="H5" s="10"/>
      <c r="I5" s="3"/>
    </row>
    <row r="6" spans="1:9" ht="38.25" x14ac:dyDescent="0.2">
      <c r="A6" s="3" t="s">
        <v>50</v>
      </c>
      <c r="B6" s="6" t="s">
        <v>14</v>
      </c>
      <c r="C6" s="11" t="s">
        <v>53</v>
      </c>
      <c r="D6" s="3" t="s">
        <v>56</v>
      </c>
      <c r="E6" s="3" t="s">
        <v>57</v>
      </c>
      <c r="F6" s="3" t="s">
        <v>48</v>
      </c>
      <c r="G6" s="3"/>
      <c r="H6" s="10"/>
      <c r="I6" s="3"/>
    </row>
    <row r="7" spans="1:9" ht="25.5" x14ac:dyDescent="0.2">
      <c r="A7" s="3" t="s">
        <v>58</v>
      </c>
      <c r="B7" s="6" t="s">
        <v>14</v>
      </c>
      <c r="C7" s="11" t="s">
        <v>53</v>
      </c>
      <c r="D7" s="3" t="s">
        <v>59</v>
      </c>
      <c r="E7" s="3" t="s">
        <v>60</v>
      </c>
      <c r="F7" s="3" t="s">
        <v>62</v>
      </c>
      <c r="G7" s="3"/>
      <c r="H7" s="10"/>
      <c r="I7" s="3"/>
    </row>
    <row r="8" spans="1:9" ht="38.25" x14ac:dyDescent="0.2">
      <c r="A8" s="3" t="s">
        <v>65</v>
      </c>
      <c r="B8" s="13" t="s">
        <v>66</v>
      </c>
      <c r="C8" s="7" t="s">
        <v>22</v>
      </c>
      <c r="D8" s="3" t="s">
        <v>69</v>
      </c>
      <c r="E8" s="3" t="s">
        <v>70</v>
      </c>
      <c r="F8" s="3" t="s">
        <v>71</v>
      </c>
      <c r="G8" s="3"/>
      <c r="H8" s="10"/>
      <c r="I8" s="3"/>
    </row>
    <row r="9" spans="1:9" ht="38.25" x14ac:dyDescent="0.2">
      <c r="A9" s="3" t="s">
        <v>74</v>
      </c>
      <c r="B9" s="13" t="s">
        <v>66</v>
      </c>
      <c r="C9" s="7" t="s">
        <v>22</v>
      </c>
      <c r="D9" s="3" t="s">
        <v>77</v>
      </c>
      <c r="E9" s="3" t="s">
        <v>79</v>
      </c>
      <c r="F9" s="3" t="s">
        <v>71</v>
      </c>
      <c r="G9" s="3"/>
      <c r="H9" s="10"/>
      <c r="I9" s="3"/>
    </row>
    <row r="10" spans="1:9" ht="38.25" x14ac:dyDescent="0.2">
      <c r="A10" s="3" t="s">
        <v>80</v>
      </c>
      <c r="B10" s="13" t="s">
        <v>66</v>
      </c>
      <c r="C10" s="7" t="s">
        <v>22</v>
      </c>
      <c r="D10" s="3" t="s">
        <v>81</v>
      </c>
      <c r="E10" s="3" t="s">
        <v>82</v>
      </c>
      <c r="F10" s="3" t="s">
        <v>83</v>
      </c>
      <c r="G10" s="3"/>
      <c r="H10" s="10"/>
      <c r="I10" s="3"/>
    </row>
    <row r="11" spans="1:9" ht="38.25" x14ac:dyDescent="0.2">
      <c r="A11" s="3" t="s">
        <v>84</v>
      </c>
      <c r="B11" s="13" t="s">
        <v>66</v>
      </c>
      <c r="C11" s="7" t="s">
        <v>22</v>
      </c>
      <c r="D11" s="3" t="s">
        <v>86</v>
      </c>
      <c r="E11" s="3" t="s">
        <v>88</v>
      </c>
      <c r="F11" s="3" t="s">
        <v>90</v>
      </c>
      <c r="G11" s="3"/>
      <c r="H11" s="10"/>
      <c r="I11" s="3"/>
    </row>
    <row r="12" spans="1:9" ht="25.5" x14ac:dyDescent="0.2">
      <c r="A12" s="3" t="s">
        <v>91</v>
      </c>
      <c r="B12" s="13" t="s">
        <v>66</v>
      </c>
      <c r="C12" s="7" t="s">
        <v>22</v>
      </c>
      <c r="D12" s="3" t="s">
        <v>92</v>
      </c>
      <c r="E12" s="3" t="s">
        <v>93</v>
      </c>
      <c r="F12" s="3" t="s">
        <v>94</v>
      </c>
      <c r="G12" s="3"/>
      <c r="H12" s="10"/>
      <c r="I12" s="3"/>
    </row>
    <row r="13" spans="1:9" ht="38.25" x14ac:dyDescent="0.2">
      <c r="A13" s="3" t="s">
        <v>95</v>
      </c>
      <c r="B13" s="13" t="s">
        <v>66</v>
      </c>
      <c r="C13" s="11" t="s">
        <v>53</v>
      </c>
      <c r="D13" s="3" t="s">
        <v>98</v>
      </c>
      <c r="E13" s="3" t="s">
        <v>100</v>
      </c>
      <c r="F13" s="3" t="s">
        <v>94</v>
      </c>
      <c r="G13" s="3"/>
      <c r="H13" s="10"/>
      <c r="I13" s="3"/>
    </row>
    <row r="14" spans="1:9" ht="38.25" x14ac:dyDescent="0.2">
      <c r="A14" s="3" t="s">
        <v>101</v>
      </c>
      <c r="B14" s="13" t="s">
        <v>66</v>
      </c>
      <c r="C14" s="11" t="s">
        <v>53</v>
      </c>
      <c r="D14" s="3" t="s">
        <v>102</v>
      </c>
      <c r="E14" s="3" t="s">
        <v>103</v>
      </c>
      <c r="F14" s="3" t="s">
        <v>71</v>
      </c>
      <c r="G14" s="3"/>
      <c r="H14" s="10"/>
      <c r="I14" s="3"/>
    </row>
    <row r="15" spans="1:9" ht="25.5" x14ac:dyDescent="0.2">
      <c r="A15" s="3" t="s">
        <v>104</v>
      </c>
      <c r="B15" s="13" t="s">
        <v>66</v>
      </c>
      <c r="C15" s="11" t="s">
        <v>53</v>
      </c>
      <c r="D15" s="3" t="s">
        <v>105</v>
      </c>
      <c r="E15" s="3" t="s">
        <v>106</v>
      </c>
      <c r="F15" s="3" t="s">
        <v>83</v>
      </c>
      <c r="G15" s="3"/>
      <c r="H15" s="10"/>
      <c r="I15" s="3"/>
    </row>
    <row r="16" spans="1:9" ht="25.5" x14ac:dyDescent="0.2">
      <c r="A16" s="3" t="s">
        <v>108</v>
      </c>
      <c r="B16" s="13" t="s">
        <v>66</v>
      </c>
      <c r="C16" s="11" t="s">
        <v>53</v>
      </c>
      <c r="D16" s="3" t="s">
        <v>112</v>
      </c>
      <c r="E16" s="3" t="s">
        <v>114</v>
      </c>
      <c r="F16" s="3" t="s">
        <v>83</v>
      </c>
      <c r="G16" s="3"/>
      <c r="H16" s="10"/>
      <c r="I16" s="3"/>
    </row>
    <row r="17" spans="1:9" ht="38.25" x14ac:dyDescent="0.2">
      <c r="A17" s="3" t="s">
        <v>118</v>
      </c>
      <c r="B17" s="13" t="s">
        <v>66</v>
      </c>
      <c r="C17" s="11" t="s">
        <v>53</v>
      </c>
      <c r="D17" s="3" t="s">
        <v>119</v>
      </c>
      <c r="E17" s="3" t="s">
        <v>120</v>
      </c>
      <c r="F17" s="3" t="s">
        <v>90</v>
      </c>
      <c r="G17" s="3"/>
      <c r="H17" s="10"/>
      <c r="I17" s="3"/>
    </row>
    <row r="18" spans="1:9" ht="38.25" x14ac:dyDescent="0.2">
      <c r="A18" s="3" t="s">
        <v>123</v>
      </c>
      <c r="B18" s="16" t="s">
        <v>126</v>
      </c>
      <c r="C18" s="7" t="s">
        <v>22</v>
      </c>
      <c r="D18" s="3" t="s">
        <v>129</v>
      </c>
      <c r="E18" s="3" t="s">
        <v>130</v>
      </c>
      <c r="F18" s="3" t="s">
        <v>131</v>
      </c>
      <c r="G18" s="3"/>
      <c r="H18" s="10"/>
      <c r="I18" s="3"/>
    </row>
    <row r="19" spans="1:9" ht="25.5" x14ac:dyDescent="0.2">
      <c r="A19" s="3" t="s">
        <v>132</v>
      </c>
      <c r="B19" s="16" t="s">
        <v>126</v>
      </c>
      <c r="C19" s="7" t="s">
        <v>22</v>
      </c>
      <c r="D19" s="3" t="s">
        <v>133</v>
      </c>
      <c r="E19" s="3" t="s">
        <v>134</v>
      </c>
      <c r="F19" s="3" t="s">
        <v>135</v>
      </c>
      <c r="G19" s="3"/>
      <c r="H19" s="10"/>
      <c r="I19" s="3"/>
    </row>
    <row r="20" spans="1:9" ht="25.5" x14ac:dyDescent="0.2">
      <c r="A20" s="3" t="s">
        <v>137</v>
      </c>
      <c r="B20" s="16" t="s">
        <v>126</v>
      </c>
      <c r="C20" s="7" t="s">
        <v>22</v>
      </c>
      <c r="D20" s="3" t="s">
        <v>140</v>
      </c>
      <c r="E20" s="3" t="s">
        <v>141</v>
      </c>
      <c r="F20" s="3" t="s">
        <v>142</v>
      </c>
      <c r="G20" s="3"/>
      <c r="H20" s="10"/>
      <c r="I20" s="3"/>
    </row>
    <row r="21" spans="1:9" ht="38.25" x14ac:dyDescent="0.2">
      <c r="A21" s="3" t="s">
        <v>143</v>
      </c>
      <c r="B21" s="16" t="s">
        <v>126</v>
      </c>
      <c r="C21" s="7" t="s">
        <v>22</v>
      </c>
      <c r="D21" s="3" t="s">
        <v>144</v>
      </c>
      <c r="E21" s="3" t="s">
        <v>145</v>
      </c>
      <c r="F21" s="3" t="s">
        <v>135</v>
      </c>
      <c r="G21" s="3"/>
      <c r="H21" s="10"/>
      <c r="I21" s="3"/>
    </row>
    <row r="22" spans="1:9" ht="38.25" x14ac:dyDescent="0.2">
      <c r="A22" s="3" t="s">
        <v>146</v>
      </c>
      <c r="B22" s="16" t="s">
        <v>126</v>
      </c>
      <c r="C22" s="11" t="s">
        <v>53</v>
      </c>
      <c r="D22" s="3" t="s">
        <v>150</v>
      </c>
      <c r="E22" s="3" t="s">
        <v>151</v>
      </c>
      <c r="F22" s="3" t="s">
        <v>135</v>
      </c>
      <c r="G22" s="3"/>
      <c r="H22" s="10"/>
      <c r="I22" s="3"/>
    </row>
    <row r="23" spans="1:9" ht="38.25" x14ac:dyDescent="0.2">
      <c r="A23" s="3" t="s">
        <v>152</v>
      </c>
      <c r="B23" s="16" t="s">
        <v>126</v>
      </c>
      <c r="C23" s="11" t="s">
        <v>53</v>
      </c>
      <c r="D23" s="3" t="s">
        <v>153</v>
      </c>
      <c r="E23" s="3" t="s">
        <v>154</v>
      </c>
      <c r="F23" s="3" t="s">
        <v>155</v>
      </c>
      <c r="G23" s="3"/>
      <c r="H23" s="10"/>
      <c r="I23" s="3"/>
    </row>
    <row r="24" spans="1:9" ht="51" x14ac:dyDescent="0.2">
      <c r="A24" s="3" t="s">
        <v>158</v>
      </c>
      <c r="B24" s="16" t="s">
        <v>126</v>
      </c>
      <c r="C24" s="7" t="s">
        <v>22</v>
      </c>
      <c r="D24" s="3" t="s">
        <v>160</v>
      </c>
      <c r="E24" s="3" t="s">
        <v>161</v>
      </c>
      <c r="F24" s="3" t="s">
        <v>162</v>
      </c>
      <c r="G24" s="3"/>
      <c r="H24" s="10"/>
      <c r="I24" s="3"/>
    </row>
    <row r="25" spans="1:9" ht="38.25" x14ac:dyDescent="0.2">
      <c r="A25" s="3" t="s">
        <v>164</v>
      </c>
      <c r="B25" s="17" t="s">
        <v>165</v>
      </c>
      <c r="C25" s="7" t="s">
        <v>22</v>
      </c>
      <c r="D25" s="3" t="s">
        <v>168</v>
      </c>
      <c r="E25" s="3" t="s">
        <v>169</v>
      </c>
      <c r="F25" s="3" t="s">
        <v>170</v>
      </c>
      <c r="G25" s="3"/>
      <c r="H25" s="10"/>
      <c r="I25" s="3"/>
    </row>
    <row r="26" spans="1:9" ht="38.25" x14ac:dyDescent="0.2">
      <c r="A26" s="3" t="s">
        <v>172</v>
      </c>
      <c r="B26" s="17" t="s">
        <v>165</v>
      </c>
      <c r="C26" s="7" t="s">
        <v>22</v>
      </c>
      <c r="D26" s="3" t="s">
        <v>174</v>
      </c>
      <c r="E26" s="3" t="s">
        <v>175</v>
      </c>
      <c r="F26" s="3" t="s">
        <v>177</v>
      </c>
      <c r="G26" s="3"/>
      <c r="H26" s="10"/>
      <c r="I26" s="3"/>
    </row>
    <row r="27" spans="1:9" ht="51" x14ac:dyDescent="0.2">
      <c r="A27" s="3" t="s">
        <v>178</v>
      </c>
      <c r="B27" s="17" t="s">
        <v>165</v>
      </c>
      <c r="C27" s="7" t="s">
        <v>22</v>
      </c>
      <c r="D27" s="3" t="s">
        <v>179</v>
      </c>
      <c r="E27" s="3" t="s">
        <v>180</v>
      </c>
      <c r="F27" s="3" t="s">
        <v>170</v>
      </c>
      <c r="G27" s="3"/>
      <c r="H27" s="10"/>
      <c r="I27" s="3"/>
    </row>
    <row r="28" spans="1:9" ht="25.5" x14ac:dyDescent="0.2">
      <c r="A28" s="3" t="s">
        <v>183</v>
      </c>
      <c r="B28" s="17" t="s">
        <v>165</v>
      </c>
      <c r="C28" s="7" t="s">
        <v>22</v>
      </c>
      <c r="D28" s="3" t="s">
        <v>186</v>
      </c>
      <c r="E28" s="3" t="s">
        <v>188</v>
      </c>
      <c r="F28" s="3" t="s">
        <v>189</v>
      </c>
      <c r="G28" s="3"/>
      <c r="H28" s="10"/>
      <c r="I28" s="3"/>
    </row>
    <row r="29" spans="1:9" ht="38.25" x14ac:dyDescent="0.2">
      <c r="A29" s="3" t="s">
        <v>190</v>
      </c>
      <c r="B29" s="17" t="s">
        <v>165</v>
      </c>
      <c r="C29" s="11" t="s">
        <v>53</v>
      </c>
      <c r="D29" s="3" t="s">
        <v>191</v>
      </c>
      <c r="E29" s="3" t="s">
        <v>192</v>
      </c>
      <c r="F29" s="3" t="s">
        <v>170</v>
      </c>
      <c r="G29" s="3"/>
      <c r="H29" s="10"/>
      <c r="I29" s="3"/>
    </row>
    <row r="30" spans="1:9" ht="38.25" x14ac:dyDescent="0.2">
      <c r="A30" s="3" t="s">
        <v>195</v>
      </c>
      <c r="B30" s="17" t="s">
        <v>165</v>
      </c>
      <c r="C30" s="11" t="s">
        <v>53</v>
      </c>
      <c r="D30" s="3" t="s">
        <v>196</v>
      </c>
      <c r="E30" s="3" t="s">
        <v>197</v>
      </c>
      <c r="F30" s="3" t="s">
        <v>170</v>
      </c>
      <c r="G30" s="3"/>
      <c r="H30" s="10"/>
      <c r="I30" s="3"/>
    </row>
    <row r="31" spans="1:9" ht="38.25" x14ac:dyDescent="0.2">
      <c r="A31" s="3" t="s">
        <v>198</v>
      </c>
      <c r="B31" s="17" t="s">
        <v>165</v>
      </c>
      <c r="C31" s="11" t="s">
        <v>53</v>
      </c>
      <c r="D31" s="3" t="s">
        <v>201</v>
      </c>
      <c r="E31" s="3" t="s">
        <v>202</v>
      </c>
      <c r="F31" s="3" t="s">
        <v>189</v>
      </c>
      <c r="G31" s="3"/>
      <c r="H31" s="10"/>
      <c r="I31" s="3"/>
    </row>
    <row r="32" spans="1:9" ht="38.25" x14ac:dyDescent="0.2">
      <c r="A32" s="3" t="s">
        <v>203</v>
      </c>
      <c r="B32" s="18" t="s">
        <v>204</v>
      </c>
      <c r="C32" s="7" t="s">
        <v>22</v>
      </c>
      <c r="D32" s="3" t="s">
        <v>207</v>
      </c>
      <c r="E32" s="3" t="s">
        <v>208</v>
      </c>
      <c r="F32" s="3" t="s">
        <v>209</v>
      </c>
      <c r="G32" s="3"/>
      <c r="H32" s="10"/>
      <c r="I32" s="3"/>
    </row>
    <row r="33" spans="1:9" ht="38.25" x14ac:dyDescent="0.2">
      <c r="A33" s="3" t="s">
        <v>211</v>
      </c>
      <c r="B33" s="18" t="s">
        <v>204</v>
      </c>
      <c r="C33" s="7" t="s">
        <v>22</v>
      </c>
      <c r="D33" s="3" t="s">
        <v>213</v>
      </c>
      <c r="E33" s="3" t="s">
        <v>214</v>
      </c>
      <c r="F33" s="3" t="s">
        <v>215</v>
      </c>
      <c r="G33" s="3"/>
      <c r="H33" s="10"/>
      <c r="I33" s="3"/>
    </row>
    <row r="34" spans="1:9" ht="51" x14ac:dyDescent="0.2">
      <c r="A34" s="3" t="s">
        <v>216</v>
      </c>
      <c r="B34" s="18" t="s">
        <v>204</v>
      </c>
      <c r="C34" s="7" t="s">
        <v>22</v>
      </c>
      <c r="D34" s="3" t="s">
        <v>217</v>
      </c>
      <c r="E34" s="3" t="s">
        <v>220</v>
      </c>
      <c r="F34" s="3" t="s">
        <v>221</v>
      </c>
      <c r="G34" s="3"/>
      <c r="H34" s="10"/>
      <c r="I34" s="3"/>
    </row>
    <row r="35" spans="1:9" ht="38.25" x14ac:dyDescent="0.2">
      <c r="A35" s="3" t="s">
        <v>223</v>
      </c>
      <c r="B35" s="18" t="s">
        <v>204</v>
      </c>
      <c r="C35" s="11" t="s">
        <v>53</v>
      </c>
      <c r="D35" s="3" t="s">
        <v>224</v>
      </c>
      <c r="E35" s="3" t="s">
        <v>225</v>
      </c>
      <c r="F35" s="3" t="s">
        <v>221</v>
      </c>
      <c r="G35" s="3"/>
      <c r="H35" s="10"/>
      <c r="I35" s="3"/>
    </row>
    <row r="36" spans="1:9" ht="12.75" x14ac:dyDescent="0.2"/>
    <row r="37" spans="1:9" ht="12.75" x14ac:dyDescent="0.2"/>
    <row r="38" spans="1:9" ht="12.75" x14ac:dyDescent="0.2"/>
    <row r="39" spans="1:9" ht="12.75" x14ac:dyDescent="0.2"/>
    <row r="40" spans="1:9" ht="12.75" x14ac:dyDescent="0.2"/>
    <row r="41" spans="1:9" ht="12.75" x14ac:dyDescent="0.2"/>
    <row r="42" spans="1:9" ht="12.75" x14ac:dyDescent="0.2"/>
    <row r="43" spans="1:9" ht="12.75" x14ac:dyDescent="0.2"/>
    <row r="44" spans="1:9" ht="12.75" x14ac:dyDescent="0.2"/>
    <row r="45" spans="1:9" ht="12.75" x14ac:dyDescent="0.2"/>
    <row r="46" spans="1:9" ht="12.75" x14ac:dyDescent="0.2"/>
    <row r="47" spans="1:9" ht="12.75" x14ac:dyDescent="0.2"/>
    <row r="48" spans="1:9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</sheetData>
  <autoFilter ref="A1:I35" xr:uid="{00000000-0009-0000-0000-000000000000}"/>
  <conditionalFormatting sqref="H2:H35">
    <cfRule type="cellIs" dxfId="3" priority="1" stopIfTrue="1" operator="equal">
      <formula>"Complete"</formula>
    </cfRule>
    <cfRule type="cellIs" dxfId="2" priority="2" stopIfTrue="1" operator="equal">
      <formula>"Blocked"</formula>
    </cfRule>
  </conditionalFormatting>
  <dataValidations count="2">
    <dataValidation type="list" allowBlank="1" sqref="C2:C35" xr:uid="{00000000-0002-0000-0000-000000000000}">
      <formula1>"Frontend,Backend,Both"</formula1>
    </dataValidation>
    <dataValidation type="list" allowBlank="1" sqref="H2:H35" xr:uid="{00000000-0002-0000-0000-000001000000}">
      <formula1>"Not Started,In Progress,Blocked,Ready for Review,Merged,Complete"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4"/>
  <sheetViews>
    <sheetView showGridLines="0" topLeftCell="A40" workbookViewId="0">
      <selection activeCell="E70" sqref="E70"/>
    </sheetView>
  </sheetViews>
  <sheetFormatPr defaultColWidth="12.5703125" defaultRowHeight="15.75" customHeight="1" x14ac:dyDescent="0.2"/>
  <cols>
    <col min="2" max="2" width="32.140625" customWidth="1"/>
    <col min="3" max="3" width="14" customWidth="1"/>
    <col min="4" max="4" width="18.85546875" customWidth="1"/>
    <col min="5" max="5" width="37.5703125" customWidth="1"/>
    <col min="6" max="7" width="15.140625" customWidth="1"/>
    <col min="8" max="8" width="18.85546875" customWidth="1"/>
    <col min="9" max="12" width="15.140625" customWidth="1"/>
    <col min="13" max="13" width="18.85546875" customWidth="1"/>
    <col min="14" max="16" width="25.140625" customWidth="1"/>
    <col min="17" max="17" width="15.140625" customWidth="1"/>
  </cols>
  <sheetData>
    <row r="1" spans="2:17" ht="15.75" customHeight="1" x14ac:dyDescent="0.35">
      <c r="B1" s="1" t="s">
        <v>1</v>
      </c>
    </row>
    <row r="3" spans="2:17" x14ac:dyDescent="0.2">
      <c r="B3" s="5" t="s">
        <v>13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10</v>
      </c>
      <c r="I3" s="5" t="s">
        <v>23</v>
      </c>
      <c r="J3" s="5" t="s">
        <v>24</v>
      </c>
      <c r="K3" s="5" t="s">
        <v>25</v>
      </c>
      <c r="L3" s="5" t="s">
        <v>26</v>
      </c>
      <c r="M3" s="5" t="s">
        <v>27</v>
      </c>
      <c r="N3" s="5" t="s">
        <v>28</v>
      </c>
      <c r="O3" s="5" t="s">
        <v>30</v>
      </c>
      <c r="P3" s="5" t="s">
        <v>31</v>
      </c>
      <c r="Q3" s="5" t="s">
        <v>33</v>
      </c>
    </row>
    <row r="4" spans="2:17" x14ac:dyDescent="0.2">
      <c r="B4" s="8">
        <v>46174</v>
      </c>
      <c r="C4" s="10" t="s">
        <v>1</v>
      </c>
      <c r="D4" s="10" t="s">
        <v>39</v>
      </c>
      <c r="E4" s="10" t="s">
        <v>40</v>
      </c>
      <c r="F4" s="10" t="s">
        <v>47</v>
      </c>
      <c r="G4" s="10" t="s">
        <v>49</v>
      </c>
      <c r="H4" s="10" t="s">
        <v>55</v>
      </c>
      <c r="I4" s="8"/>
      <c r="J4" s="12">
        <v>46174</v>
      </c>
      <c r="K4" s="12">
        <v>46174</v>
      </c>
      <c r="L4" s="12">
        <v>46174</v>
      </c>
      <c r="M4" s="10" t="s">
        <v>61</v>
      </c>
      <c r="N4" s="10" t="s">
        <v>63</v>
      </c>
      <c r="O4" s="10" t="s">
        <v>61</v>
      </c>
      <c r="P4" s="10" t="s">
        <v>64</v>
      </c>
      <c r="Q4" s="10" t="s">
        <v>67</v>
      </c>
    </row>
    <row r="5" spans="2:17" x14ac:dyDescent="0.2">
      <c r="B5" s="14" t="s">
        <v>68</v>
      </c>
      <c r="C5" s="10" t="s">
        <v>72</v>
      </c>
      <c r="D5" s="10" t="s">
        <v>73</v>
      </c>
      <c r="E5" s="10" t="s">
        <v>75</v>
      </c>
      <c r="F5" s="10" t="s">
        <v>76</v>
      </c>
      <c r="G5" s="10" t="s">
        <v>78</v>
      </c>
      <c r="H5" s="10" t="s">
        <v>55</v>
      </c>
      <c r="I5" s="8"/>
      <c r="J5" s="12">
        <v>46174</v>
      </c>
      <c r="K5" s="12">
        <v>46178</v>
      </c>
      <c r="L5" s="12">
        <v>46181</v>
      </c>
      <c r="M5" s="10"/>
      <c r="N5" s="10"/>
      <c r="O5" s="10"/>
      <c r="P5" s="10"/>
      <c r="Q5" s="10"/>
    </row>
    <row r="6" spans="2:17" x14ac:dyDescent="0.2">
      <c r="B6" s="14" t="s">
        <v>68</v>
      </c>
      <c r="C6" s="10" t="s">
        <v>85</v>
      </c>
      <c r="D6" s="10" t="s">
        <v>87</v>
      </c>
      <c r="E6" s="10" t="s">
        <v>89</v>
      </c>
      <c r="F6" s="10" t="s">
        <v>76</v>
      </c>
      <c r="G6" s="10" t="s">
        <v>78</v>
      </c>
      <c r="H6" s="10" t="s">
        <v>55</v>
      </c>
      <c r="I6" s="8"/>
      <c r="J6" s="12">
        <v>46174</v>
      </c>
      <c r="K6" s="12">
        <v>46178</v>
      </c>
      <c r="L6" s="12">
        <v>46181</v>
      </c>
      <c r="M6" s="10"/>
      <c r="N6" s="10"/>
      <c r="O6" s="10"/>
      <c r="P6" s="10"/>
      <c r="Q6" s="10"/>
    </row>
    <row r="7" spans="2:17" x14ac:dyDescent="0.2">
      <c r="B7" s="14" t="s">
        <v>68</v>
      </c>
      <c r="C7" s="10" t="s">
        <v>96</v>
      </c>
      <c r="D7" s="10" t="s">
        <v>97</v>
      </c>
      <c r="E7" s="10" t="s">
        <v>99</v>
      </c>
      <c r="F7" s="10" t="s">
        <v>47</v>
      </c>
      <c r="G7" s="10" t="s">
        <v>78</v>
      </c>
      <c r="H7" s="10" t="s">
        <v>55</v>
      </c>
      <c r="I7" s="8"/>
      <c r="J7" s="12">
        <v>46174</v>
      </c>
      <c r="K7" s="12">
        <v>46178</v>
      </c>
      <c r="L7" s="12">
        <v>46181</v>
      </c>
      <c r="M7" s="10"/>
      <c r="N7" s="10"/>
      <c r="O7" s="10"/>
      <c r="P7" s="10"/>
      <c r="Q7" s="10"/>
    </row>
    <row r="8" spans="2:17" x14ac:dyDescent="0.2">
      <c r="B8" s="14"/>
      <c r="C8" s="10" t="s">
        <v>107</v>
      </c>
      <c r="D8" s="10" t="s">
        <v>109</v>
      </c>
      <c r="E8" s="10" t="s">
        <v>111</v>
      </c>
      <c r="F8" s="10" t="s">
        <v>113</v>
      </c>
      <c r="G8" s="10" t="s">
        <v>115</v>
      </c>
      <c r="H8" s="10" t="s">
        <v>55</v>
      </c>
      <c r="I8" s="12"/>
      <c r="J8" s="12"/>
      <c r="K8" s="12"/>
      <c r="L8" s="12"/>
      <c r="M8" s="10"/>
      <c r="N8" s="10"/>
      <c r="O8" s="10"/>
      <c r="P8" s="10"/>
      <c r="Q8" s="10"/>
    </row>
    <row r="9" spans="2:17" x14ac:dyDescent="0.2">
      <c r="B9" s="14"/>
      <c r="C9" s="10" t="s">
        <v>127</v>
      </c>
      <c r="D9" s="10" t="s">
        <v>109</v>
      </c>
      <c r="E9" s="10" t="s">
        <v>128</v>
      </c>
      <c r="F9" s="10" t="s">
        <v>113</v>
      </c>
      <c r="G9" s="10" t="s">
        <v>115</v>
      </c>
      <c r="H9" s="10" t="s">
        <v>55</v>
      </c>
      <c r="I9" s="12"/>
      <c r="J9" s="12"/>
      <c r="K9" s="12"/>
      <c r="L9" s="12"/>
      <c r="M9" s="10"/>
      <c r="N9" s="10"/>
      <c r="O9" s="10"/>
      <c r="P9" s="10"/>
      <c r="Q9" s="10"/>
    </row>
    <row r="10" spans="2:17" x14ac:dyDescent="0.2">
      <c r="B10" s="14"/>
      <c r="C10" s="10" t="s">
        <v>136</v>
      </c>
      <c r="D10" s="10" t="s">
        <v>138</v>
      </c>
      <c r="E10" s="10" t="s">
        <v>139</v>
      </c>
      <c r="F10" s="10" t="s">
        <v>113</v>
      </c>
      <c r="G10" s="10" t="s">
        <v>115</v>
      </c>
      <c r="H10" s="10" t="s">
        <v>55</v>
      </c>
      <c r="I10" s="12"/>
      <c r="J10" s="12"/>
      <c r="K10" s="12"/>
      <c r="L10" s="12"/>
      <c r="M10" s="10"/>
      <c r="N10" s="10"/>
      <c r="O10" s="10"/>
      <c r="P10" s="10"/>
      <c r="Q10" s="10"/>
    </row>
    <row r="11" spans="2:17" x14ac:dyDescent="0.2">
      <c r="B11" s="14"/>
      <c r="C11" s="10" t="s">
        <v>147</v>
      </c>
      <c r="D11" s="10" t="s">
        <v>148</v>
      </c>
      <c r="E11" s="10" t="s">
        <v>149</v>
      </c>
      <c r="F11" s="10" t="s">
        <v>113</v>
      </c>
      <c r="G11" s="10" t="s">
        <v>78</v>
      </c>
      <c r="H11" s="10" t="s">
        <v>55</v>
      </c>
      <c r="I11" s="12"/>
      <c r="J11" s="12"/>
      <c r="K11" s="12"/>
      <c r="L11" s="12"/>
      <c r="M11" s="10"/>
      <c r="N11" s="10"/>
      <c r="O11" s="10"/>
      <c r="P11" s="10"/>
      <c r="Q11" s="10"/>
    </row>
    <row r="12" spans="2:17" x14ac:dyDescent="0.2">
      <c r="B12" s="8">
        <v>46174</v>
      </c>
      <c r="C12" s="10" t="s">
        <v>156</v>
      </c>
      <c r="D12" s="10" t="s">
        <v>157</v>
      </c>
      <c r="E12" s="10" t="s">
        <v>159</v>
      </c>
      <c r="F12" s="10" t="s">
        <v>76</v>
      </c>
      <c r="G12" s="10" t="s">
        <v>49</v>
      </c>
      <c r="H12" s="10" t="s">
        <v>163</v>
      </c>
      <c r="I12" s="8"/>
      <c r="J12" s="12">
        <v>46174</v>
      </c>
      <c r="K12" s="12">
        <v>46175</v>
      </c>
      <c r="L12" s="12"/>
      <c r="M12" s="10" t="s">
        <v>61</v>
      </c>
      <c r="N12" s="10"/>
      <c r="O12" s="10"/>
      <c r="P12" s="10"/>
      <c r="Q12" s="10"/>
    </row>
    <row r="13" spans="2:17" x14ac:dyDescent="0.2">
      <c r="B13" s="10" t="s">
        <v>68</v>
      </c>
      <c r="C13" s="10" t="s">
        <v>166</v>
      </c>
      <c r="D13" s="10" t="s">
        <v>73</v>
      </c>
      <c r="E13" s="10" t="s">
        <v>167</v>
      </c>
      <c r="F13" s="10" t="s">
        <v>76</v>
      </c>
      <c r="G13" s="10" t="s">
        <v>78</v>
      </c>
      <c r="H13" s="10" t="s">
        <v>55</v>
      </c>
      <c r="I13" s="8"/>
      <c r="J13" s="12">
        <v>46174</v>
      </c>
      <c r="K13" s="12"/>
      <c r="L13" s="12">
        <v>46181</v>
      </c>
      <c r="M13" s="10"/>
      <c r="N13" s="10" t="s">
        <v>171</v>
      </c>
      <c r="O13" s="10"/>
      <c r="P13" s="10"/>
      <c r="Q13" s="10"/>
    </row>
    <row r="14" spans="2:17" x14ac:dyDescent="0.2">
      <c r="B14" s="14" t="s">
        <v>68</v>
      </c>
      <c r="C14" s="10" t="s">
        <v>173</v>
      </c>
      <c r="D14" s="10" t="s">
        <v>97</v>
      </c>
      <c r="E14" s="10" t="s">
        <v>176</v>
      </c>
      <c r="F14" s="10" t="s">
        <v>47</v>
      </c>
      <c r="G14" s="10" t="s">
        <v>78</v>
      </c>
      <c r="H14" s="10" t="s">
        <v>55</v>
      </c>
      <c r="I14" s="12"/>
      <c r="J14" s="12"/>
      <c r="K14" s="12"/>
      <c r="L14" s="12"/>
      <c r="M14" s="10"/>
      <c r="N14" s="10"/>
      <c r="O14" s="10"/>
      <c r="P14" s="10"/>
      <c r="Q14" s="10"/>
    </row>
    <row r="15" spans="2:17" x14ac:dyDescent="0.2">
      <c r="B15" s="10" t="s">
        <v>181</v>
      </c>
      <c r="C15" s="10" t="s">
        <v>182</v>
      </c>
      <c r="D15" s="10" t="s">
        <v>184</v>
      </c>
      <c r="E15" s="10" t="s">
        <v>185</v>
      </c>
      <c r="F15" s="10" t="s">
        <v>76</v>
      </c>
      <c r="G15" s="10" t="s">
        <v>187</v>
      </c>
      <c r="H15" s="10" t="s">
        <v>55</v>
      </c>
      <c r="I15" s="8"/>
      <c r="J15" s="12">
        <v>46181</v>
      </c>
      <c r="K15" s="12"/>
      <c r="L15" s="12">
        <v>46202</v>
      </c>
      <c r="M15" s="10"/>
      <c r="N15" s="10"/>
      <c r="O15" s="10"/>
      <c r="P15" s="10"/>
      <c r="Q15" s="10"/>
    </row>
    <row r="16" spans="2:17" x14ac:dyDescent="0.2">
      <c r="B16" s="10" t="s">
        <v>181</v>
      </c>
      <c r="C16" s="10" t="s">
        <v>193</v>
      </c>
      <c r="D16" s="10" t="s">
        <v>184</v>
      </c>
      <c r="E16" s="10" t="s">
        <v>194</v>
      </c>
      <c r="F16" s="10" t="s">
        <v>76</v>
      </c>
      <c r="G16" s="10" t="s">
        <v>78</v>
      </c>
      <c r="H16" s="10" t="s">
        <v>55</v>
      </c>
      <c r="I16" s="8"/>
      <c r="J16" s="12">
        <v>46181</v>
      </c>
      <c r="K16" s="12"/>
      <c r="L16" s="12">
        <v>46202</v>
      </c>
      <c r="M16" s="10"/>
      <c r="N16" s="10"/>
      <c r="O16" s="10"/>
      <c r="P16" s="10"/>
      <c r="Q16" s="10"/>
    </row>
    <row r="17" spans="2:17" x14ac:dyDescent="0.2">
      <c r="B17" s="10" t="s">
        <v>181</v>
      </c>
      <c r="C17" s="10" t="s">
        <v>199</v>
      </c>
      <c r="D17" s="10" t="s">
        <v>184</v>
      </c>
      <c r="E17" s="10" t="s">
        <v>200</v>
      </c>
      <c r="F17" s="10" t="s">
        <v>47</v>
      </c>
      <c r="G17" s="10" t="s">
        <v>78</v>
      </c>
      <c r="H17" s="10" t="s">
        <v>55</v>
      </c>
      <c r="I17" s="8"/>
      <c r="J17" s="12">
        <v>46181</v>
      </c>
      <c r="K17" s="12"/>
      <c r="L17" s="12">
        <v>46202</v>
      </c>
      <c r="M17" s="10"/>
      <c r="N17" s="10"/>
      <c r="O17" s="10"/>
      <c r="P17" s="10"/>
      <c r="Q17" s="10"/>
    </row>
    <row r="18" spans="2:17" x14ac:dyDescent="0.2">
      <c r="B18" s="10" t="s">
        <v>181</v>
      </c>
      <c r="C18" s="10" t="s">
        <v>205</v>
      </c>
      <c r="D18" s="10" t="s">
        <v>184</v>
      </c>
      <c r="E18" s="10" t="s">
        <v>206</v>
      </c>
      <c r="F18" s="10" t="s">
        <v>47</v>
      </c>
      <c r="G18" s="10" t="s">
        <v>78</v>
      </c>
      <c r="H18" s="10" t="s">
        <v>55</v>
      </c>
      <c r="I18" s="8"/>
      <c r="J18" s="12">
        <v>46181</v>
      </c>
      <c r="K18" s="12"/>
      <c r="L18" s="12">
        <v>46202</v>
      </c>
      <c r="M18" s="10"/>
      <c r="N18" s="10"/>
      <c r="O18" s="10"/>
      <c r="P18" s="10"/>
      <c r="Q18" s="10"/>
    </row>
    <row r="19" spans="2:17" x14ac:dyDescent="0.2">
      <c r="B19" s="10" t="s">
        <v>181</v>
      </c>
      <c r="C19" s="10" t="s">
        <v>210</v>
      </c>
      <c r="D19" s="10" t="s">
        <v>184</v>
      </c>
      <c r="E19" s="10" t="s">
        <v>212</v>
      </c>
      <c r="F19" s="10" t="s">
        <v>76</v>
      </c>
      <c r="G19" s="10" t="s">
        <v>187</v>
      </c>
      <c r="H19" s="10" t="s">
        <v>55</v>
      </c>
      <c r="I19" s="8"/>
      <c r="J19" s="12">
        <v>46181</v>
      </c>
      <c r="K19" s="12"/>
      <c r="L19" s="12">
        <v>46202</v>
      </c>
      <c r="M19" s="10"/>
      <c r="N19" s="10"/>
      <c r="O19" s="10"/>
      <c r="P19" s="10"/>
      <c r="Q19" s="10"/>
    </row>
    <row r="20" spans="2:17" x14ac:dyDescent="0.2">
      <c r="B20" s="10" t="s">
        <v>181</v>
      </c>
      <c r="C20" s="10" t="s">
        <v>218</v>
      </c>
      <c r="D20" s="10" t="s">
        <v>219</v>
      </c>
      <c r="E20" s="10" t="s">
        <v>222</v>
      </c>
      <c r="F20" s="10" t="s">
        <v>47</v>
      </c>
      <c r="G20" s="10" t="s">
        <v>78</v>
      </c>
      <c r="H20" s="10" t="s">
        <v>55</v>
      </c>
      <c r="I20" s="8"/>
      <c r="J20" s="12">
        <v>46181</v>
      </c>
      <c r="K20" s="12"/>
      <c r="L20" s="12">
        <v>46195</v>
      </c>
      <c r="M20" s="10"/>
      <c r="N20" s="10" t="s">
        <v>226</v>
      </c>
      <c r="O20" s="10"/>
      <c r="P20" s="10"/>
      <c r="Q20" s="10"/>
    </row>
    <row r="21" spans="2:17" x14ac:dyDescent="0.2">
      <c r="B21" s="10" t="s">
        <v>227</v>
      </c>
      <c r="C21" s="10" t="s">
        <v>228</v>
      </c>
      <c r="D21" s="10" t="s">
        <v>229</v>
      </c>
      <c r="E21" s="10" t="s">
        <v>230</v>
      </c>
      <c r="F21" s="10" t="s">
        <v>76</v>
      </c>
      <c r="G21" s="10" t="s">
        <v>187</v>
      </c>
      <c r="H21" s="10" t="s">
        <v>55</v>
      </c>
      <c r="I21" s="8"/>
      <c r="J21" s="12">
        <v>46189</v>
      </c>
      <c r="K21" s="12"/>
      <c r="L21" s="12">
        <v>46195</v>
      </c>
      <c r="M21" s="10"/>
      <c r="N21" s="10"/>
      <c r="O21" s="10"/>
      <c r="P21" s="10"/>
      <c r="Q21" s="10"/>
    </row>
    <row r="22" spans="2:17" ht="38.25" x14ac:dyDescent="0.2">
      <c r="B22" s="10" t="s">
        <v>227</v>
      </c>
      <c r="C22" s="10" t="s">
        <v>231</v>
      </c>
      <c r="D22" s="10" t="s">
        <v>219</v>
      </c>
      <c r="E22" s="10" t="s">
        <v>232</v>
      </c>
      <c r="F22" s="10" t="s">
        <v>47</v>
      </c>
      <c r="G22" s="10" t="s">
        <v>187</v>
      </c>
      <c r="H22" s="10" t="s">
        <v>55</v>
      </c>
      <c r="I22" s="8"/>
      <c r="J22" s="12">
        <v>46181</v>
      </c>
      <c r="K22" s="12"/>
      <c r="L22" s="12">
        <v>46195</v>
      </c>
      <c r="M22" s="10"/>
      <c r="N22" s="10" t="s">
        <v>226</v>
      </c>
      <c r="O22" s="10"/>
      <c r="P22" s="10"/>
      <c r="Q22" s="10"/>
    </row>
    <row r="23" spans="2:17" ht="76.5" x14ac:dyDescent="0.2">
      <c r="B23" s="10" t="s">
        <v>181</v>
      </c>
      <c r="C23" s="10" t="s">
        <v>233</v>
      </c>
      <c r="D23" s="10" t="s">
        <v>219</v>
      </c>
      <c r="E23" s="10" t="s">
        <v>234</v>
      </c>
      <c r="F23" s="10" t="s">
        <v>76</v>
      </c>
      <c r="G23" s="10" t="s">
        <v>78</v>
      </c>
      <c r="H23" s="10" t="s">
        <v>55</v>
      </c>
      <c r="I23" s="8"/>
      <c r="J23" s="12">
        <v>46181</v>
      </c>
      <c r="K23" s="12"/>
      <c r="L23" s="12">
        <v>46202</v>
      </c>
      <c r="M23" s="10"/>
      <c r="N23" s="10"/>
      <c r="O23" s="10"/>
      <c r="P23" s="10"/>
      <c r="Q23" s="10"/>
    </row>
    <row r="24" spans="2:17" ht="38.25" x14ac:dyDescent="0.2">
      <c r="B24" s="10" t="s">
        <v>181</v>
      </c>
      <c r="C24" s="10" t="s">
        <v>235</v>
      </c>
      <c r="D24" s="10" t="s">
        <v>219</v>
      </c>
      <c r="E24" s="10" t="s">
        <v>236</v>
      </c>
      <c r="F24" s="10" t="s">
        <v>113</v>
      </c>
      <c r="G24" s="10" t="s">
        <v>237</v>
      </c>
      <c r="H24" s="10" t="s">
        <v>55</v>
      </c>
      <c r="I24" s="8"/>
      <c r="J24" s="12">
        <v>46181</v>
      </c>
      <c r="K24" s="12"/>
      <c r="L24" s="12">
        <v>46233</v>
      </c>
      <c r="M24" s="10"/>
      <c r="N24" s="10"/>
      <c r="O24" s="10"/>
      <c r="P24" s="10"/>
      <c r="Q24" s="10"/>
    </row>
    <row r="25" spans="2:17" ht="25.5" x14ac:dyDescent="0.2">
      <c r="B25" s="14"/>
      <c r="C25" s="10" t="s">
        <v>238</v>
      </c>
      <c r="D25" s="10" t="s">
        <v>239</v>
      </c>
      <c r="E25" s="10" t="s">
        <v>240</v>
      </c>
      <c r="F25" s="10" t="s">
        <v>47</v>
      </c>
      <c r="G25" s="10" t="s">
        <v>78</v>
      </c>
      <c r="H25" s="10" t="s">
        <v>241</v>
      </c>
      <c r="I25" s="12"/>
      <c r="J25" s="12"/>
      <c r="K25" s="12"/>
      <c r="L25" s="12"/>
      <c r="M25" s="10"/>
      <c r="O25" s="10"/>
      <c r="P25" s="10"/>
      <c r="Q25" s="10"/>
    </row>
    <row r="26" spans="2:17" ht="12.75" x14ac:dyDescent="0.2">
      <c r="B26" s="14"/>
      <c r="C26" s="10" t="s">
        <v>242</v>
      </c>
      <c r="D26" s="10" t="s">
        <v>239</v>
      </c>
      <c r="E26" s="10" t="s">
        <v>243</v>
      </c>
      <c r="F26" s="10" t="s">
        <v>47</v>
      </c>
      <c r="G26" s="10" t="s">
        <v>78</v>
      </c>
      <c r="H26" s="10" t="s">
        <v>241</v>
      </c>
      <c r="I26" s="12"/>
      <c r="J26" s="12"/>
      <c r="K26" s="12"/>
      <c r="L26" s="12"/>
      <c r="M26" s="10"/>
      <c r="N26" s="10"/>
      <c r="O26" s="10"/>
      <c r="P26" s="10"/>
      <c r="Q26" s="10"/>
    </row>
    <row r="27" spans="2:17" ht="25.5" x14ac:dyDescent="0.2">
      <c r="B27" s="8">
        <v>46181</v>
      </c>
      <c r="C27" s="10" t="s">
        <v>244</v>
      </c>
      <c r="D27" s="10" t="s">
        <v>239</v>
      </c>
      <c r="E27" s="10" t="s">
        <v>245</v>
      </c>
      <c r="F27" s="10" t="s">
        <v>47</v>
      </c>
      <c r="G27" s="10" t="s">
        <v>187</v>
      </c>
      <c r="H27" s="10" t="s">
        <v>241</v>
      </c>
      <c r="I27" s="8"/>
      <c r="J27" s="12">
        <v>46181</v>
      </c>
      <c r="K27" s="12"/>
      <c r="L27" s="12"/>
      <c r="M27" s="10"/>
      <c r="N27" s="10"/>
      <c r="O27" s="10"/>
      <c r="P27" s="10"/>
      <c r="Q27" s="10"/>
    </row>
    <row r="28" spans="2:17" ht="38.25" x14ac:dyDescent="0.2">
      <c r="B28" s="14"/>
      <c r="C28" s="10" t="s">
        <v>246</v>
      </c>
      <c r="D28" s="10" t="s">
        <v>247</v>
      </c>
      <c r="E28" s="10" t="s">
        <v>248</v>
      </c>
      <c r="F28" s="10" t="s">
        <v>47</v>
      </c>
      <c r="G28" s="10" t="s">
        <v>249</v>
      </c>
      <c r="H28" s="10" t="s">
        <v>55</v>
      </c>
      <c r="I28" s="8"/>
      <c r="J28" s="12">
        <v>46188</v>
      </c>
      <c r="K28" s="12"/>
      <c r="L28" s="12">
        <v>46216</v>
      </c>
      <c r="M28" s="10"/>
      <c r="N28" s="10"/>
      <c r="O28" s="10"/>
      <c r="P28" s="10"/>
      <c r="Q28" s="10"/>
    </row>
    <row r="29" spans="2:17" ht="38.25" x14ac:dyDescent="0.2">
      <c r="B29" s="14"/>
      <c r="C29" s="10" t="s">
        <v>250</v>
      </c>
      <c r="D29" s="10" t="s">
        <v>247</v>
      </c>
      <c r="E29" s="10" t="s">
        <v>251</v>
      </c>
      <c r="F29" s="10" t="s">
        <v>76</v>
      </c>
      <c r="G29" s="10" t="s">
        <v>249</v>
      </c>
      <c r="H29" s="10" t="s">
        <v>55</v>
      </c>
      <c r="I29" s="8"/>
      <c r="J29" s="12">
        <v>46188</v>
      </c>
      <c r="K29" s="12"/>
      <c r="L29" s="12">
        <v>46216</v>
      </c>
      <c r="M29" s="10"/>
      <c r="N29" s="10"/>
      <c r="O29" s="10"/>
      <c r="P29" s="10"/>
      <c r="Q29" s="10"/>
    </row>
    <row r="30" spans="2:17" ht="25.5" x14ac:dyDescent="0.2">
      <c r="B30" s="14"/>
      <c r="C30" s="10" t="s">
        <v>252</v>
      </c>
      <c r="D30" s="10" t="s">
        <v>253</v>
      </c>
      <c r="E30" s="10" t="s">
        <v>254</v>
      </c>
      <c r="F30" s="10" t="s">
        <v>76</v>
      </c>
      <c r="G30" s="10" t="s">
        <v>249</v>
      </c>
      <c r="H30" s="10" t="s">
        <v>55</v>
      </c>
      <c r="I30" s="8"/>
      <c r="J30" s="12">
        <v>46188</v>
      </c>
      <c r="K30" s="12"/>
      <c r="L30" s="12"/>
      <c r="M30" s="10"/>
      <c r="N30" s="10"/>
      <c r="O30" s="10"/>
      <c r="P30" s="10"/>
      <c r="Q30" s="10"/>
    </row>
    <row r="31" spans="2:17" ht="63.75" x14ac:dyDescent="0.2">
      <c r="B31" s="14"/>
      <c r="C31" s="10" t="s">
        <v>255</v>
      </c>
      <c r="D31" s="10" t="s">
        <v>87</v>
      </c>
      <c r="E31" s="10" t="s">
        <v>256</v>
      </c>
      <c r="F31" s="10" t="s">
        <v>76</v>
      </c>
      <c r="G31" s="10" t="s">
        <v>78</v>
      </c>
      <c r="H31" s="10" t="s">
        <v>55</v>
      </c>
      <c r="I31" s="8"/>
      <c r="J31" s="12">
        <v>46188</v>
      </c>
      <c r="K31" s="12"/>
      <c r="L31" s="12">
        <v>46202</v>
      </c>
      <c r="M31" s="10"/>
      <c r="N31" s="10"/>
      <c r="O31" s="10"/>
      <c r="P31" s="10"/>
      <c r="Q31" s="10"/>
    </row>
    <row r="32" spans="2:17" ht="25.5" x14ac:dyDescent="0.2">
      <c r="B32" s="19"/>
      <c r="C32" s="10" t="s">
        <v>257</v>
      </c>
      <c r="D32" s="10" t="s">
        <v>109</v>
      </c>
      <c r="E32" s="10" t="s">
        <v>258</v>
      </c>
      <c r="F32" s="10" t="s">
        <v>76</v>
      </c>
      <c r="G32" s="10" t="s">
        <v>115</v>
      </c>
      <c r="H32" s="10" t="s">
        <v>163</v>
      </c>
      <c r="I32" s="8"/>
      <c r="J32" s="12">
        <v>46188</v>
      </c>
      <c r="K32" s="12"/>
      <c r="L32" s="12"/>
      <c r="M32" s="10"/>
      <c r="N32" s="10"/>
      <c r="O32" s="10"/>
      <c r="P32" s="10"/>
      <c r="Q32" s="10"/>
    </row>
    <row r="33" spans="2:17" ht="38.25" x14ac:dyDescent="0.2">
      <c r="B33" s="14"/>
      <c r="C33" s="10" t="s">
        <v>259</v>
      </c>
      <c r="D33" s="10" t="s">
        <v>87</v>
      </c>
      <c r="E33" s="10" t="s">
        <v>260</v>
      </c>
      <c r="F33" s="10" t="s">
        <v>76</v>
      </c>
      <c r="G33" s="10" t="s">
        <v>78</v>
      </c>
      <c r="H33" s="10" t="s">
        <v>55</v>
      </c>
      <c r="I33" s="8"/>
      <c r="J33" s="12">
        <v>46188</v>
      </c>
      <c r="K33" s="12"/>
      <c r="L33" s="12">
        <v>46202</v>
      </c>
      <c r="M33" s="10"/>
      <c r="N33" s="10"/>
      <c r="O33" s="10"/>
      <c r="P33" s="10"/>
      <c r="Q33" s="10"/>
    </row>
    <row r="34" spans="2:17" ht="25.5" x14ac:dyDescent="0.2">
      <c r="B34" s="14"/>
      <c r="C34" s="10" t="s">
        <v>261</v>
      </c>
      <c r="D34" s="10" t="s">
        <v>22</v>
      </c>
      <c r="E34" s="10" t="s">
        <v>262</v>
      </c>
      <c r="F34" s="10" t="s">
        <v>47</v>
      </c>
      <c r="G34" s="10" t="s">
        <v>263</v>
      </c>
      <c r="H34" s="10" t="s">
        <v>264</v>
      </c>
      <c r="I34" s="8"/>
      <c r="J34" s="12">
        <v>46188</v>
      </c>
      <c r="K34" s="12"/>
      <c r="L34" s="12"/>
      <c r="M34" s="10"/>
      <c r="N34" s="10"/>
      <c r="O34" s="10"/>
      <c r="P34" s="10"/>
      <c r="Q34" s="10"/>
    </row>
    <row r="35" spans="2:17" ht="25.5" x14ac:dyDescent="0.2">
      <c r="B35" s="19"/>
      <c r="C35" s="10" t="s">
        <v>265</v>
      </c>
      <c r="D35" s="10" t="s">
        <v>266</v>
      </c>
      <c r="E35" s="10" t="s">
        <v>267</v>
      </c>
      <c r="F35" s="10" t="s">
        <v>47</v>
      </c>
      <c r="G35" s="10" t="s">
        <v>268</v>
      </c>
      <c r="H35" s="10" t="s">
        <v>55</v>
      </c>
      <c r="I35" s="8"/>
      <c r="J35" s="12">
        <v>46188</v>
      </c>
      <c r="K35" s="12"/>
      <c r="L35" s="12">
        <v>46216</v>
      </c>
      <c r="M35" s="10"/>
      <c r="N35" s="10"/>
      <c r="O35" s="10"/>
      <c r="P35" s="10"/>
      <c r="Q35" s="10"/>
    </row>
    <row r="36" spans="2:17" ht="25.5" x14ac:dyDescent="0.2">
      <c r="B36" s="14"/>
      <c r="C36" s="10" t="s">
        <v>269</v>
      </c>
      <c r="D36" s="10" t="s">
        <v>270</v>
      </c>
      <c r="E36" s="10" t="s">
        <v>271</v>
      </c>
      <c r="F36" s="10" t="s">
        <v>76</v>
      </c>
      <c r="G36" s="10" t="s">
        <v>272</v>
      </c>
      <c r="H36" s="10" t="s">
        <v>55</v>
      </c>
      <c r="I36" s="8"/>
      <c r="J36" s="12">
        <v>46190</v>
      </c>
      <c r="K36" s="12"/>
      <c r="L36" s="12">
        <v>46198</v>
      </c>
      <c r="M36" s="10"/>
      <c r="N36" s="10"/>
      <c r="O36" s="10"/>
      <c r="P36" s="10"/>
      <c r="Q36" s="10"/>
    </row>
    <row r="37" spans="2:17" ht="25.5" x14ac:dyDescent="0.2">
      <c r="B37" s="14"/>
      <c r="C37" s="10" t="s">
        <v>273</v>
      </c>
      <c r="D37" s="10" t="s">
        <v>274</v>
      </c>
      <c r="E37" s="10" t="s">
        <v>275</v>
      </c>
      <c r="F37" s="10" t="s">
        <v>76</v>
      </c>
      <c r="G37" s="10" t="s">
        <v>272</v>
      </c>
      <c r="H37" s="10" t="s">
        <v>55</v>
      </c>
      <c r="I37" s="8"/>
      <c r="J37" s="12">
        <v>46190</v>
      </c>
      <c r="K37" s="12"/>
      <c r="L37" s="12">
        <v>46202</v>
      </c>
      <c r="M37" s="10"/>
      <c r="N37" s="10"/>
      <c r="O37" s="10"/>
      <c r="P37" s="10"/>
      <c r="Q37" s="10"/>
    </row>
    <row r="38" spans="2:17" ht="38.25" x14ac:dyDescent="0.2">
      <c r="B38" s="14"/>
      <c r="C38" s="10" t="s">
        <v>276</v>
      </c>
      <c r="D38" s="10" t="s">
        <v>277</v>
      </c>
      <c r="E38" s="10" t="s">
        <v>278</v>
      </c>
      <c r="F38" s="10" t="s">
        <v>47</v>
      </c>
      <c r="G38" s="10" t="s">
        <v>272</v>
      </c>
      <c r="H38" s="10" t="s">
        <v>279</v>
      </c>
      <c r="I38" s="8"/>
      <c r="J38" s="12">
        <v>46190</v>
      </c>
      <c r="K38" s="12"/>
      <c r="L38" s="12"/>
      <c r="M38" s="10"/>
      <c r="N38" s="10"/>
      <c r="O38" s="10"/>
      <c r="P38" s="10"/>
      <c r="Q38" s="10"/>
    </row>
    <row r="39" spans="2:17" ht="51" x14ac:dyDescent="0.2">
      <c r="B39" s="14"/>
      <c r="C39" s="10" t="s">
        <v>280</v>
      </c>
      <c r="D39" s="10" t="s">
        <v>281</v>
      </c>
      <c r="E39" s="21" t="s">
        <v>282</v>
      </c>
      <c r="F39" s="10" t="s">
        <v>47</v>
      </c>
      <c r="G39" s="10" t="s">
        <v>187</v>
      </c>
      <c r="H39" s="10" t="s">
        <v>55</v>
      </c>
      <c r="I39" s="12"/>
      <c r="J39" s="12">
        <v>46198</v>
      </c>
      <c r="K39" s="12"/>
      <c r="L39" s="12">
        <v>46202</v>
      </c>
      <c r="M39" s="10"/>
      <c r="N39" s="10"/>
      <c r="O39" s="10"/>
      <c r="P39" s="10"/>
      <c r="Q39" s="10"/>
    </row>
    <row r="40" spans="2:17" ht="153" x14ac:dyDescent="0.2">
      <c r="B40" s="14"/>
      <c r="C40" s="10" t="s">
        <v>283</v>
      </c>
      <c r="D40" s="10" t="s">
        <v>284</v>
      </c>
      <c r="E40" s="10" t="s">
        <v>285</v>
      </c>
      <c r="F40" s="10" t="s">
        <v>76</v>
      </c>
      <c r="G40" s="10" t="s">
        <v>187</v>
      </c>
      <c r="H40" s="10" t="s">
        <v>55</v>
      </c>
      <c r="I40" s="12"/>
      <c r="J40" s="12">
        <v>46198</v>
      </c>
      <c r="K40" s="12"/>
      <c r="L40" s="12">
        <v>46202</v>
      </c>
      <c r="M40" s="10"/>
      <c r="N40" s="10"/>
      <c r="O40" s="10"/>
      <c r="P40" s="10"/>
      <c r="Q40" s="10"/>
    </row>
    <row r="41" spans="2:17" ht="38.25" x14ac:dyDescent="0.2">
      <c r="B41" s="19"/>
      <c r="C41" s="10" t="s">
        <v>286</v>
      </c>
      <c r="D41" s="10" t="s">
        <v>287</v>
      </c>
      <c r="E41" s="10" t="s">
        <v>288</v>
      </c>
      <c r="F41" s="10" t="s">
        <v>76</v>
      </c>
      <c r="G41" s="10" t="s">
        <v>187</v>
      </c>
      <c r="H41" s="10" t="s">
        <v>55</v>
      </c>
      <c r="I41" s="12"/>
      <c r="J41" s="12">
        <v>46202</v>
      </c>
      <c r="K41" s="12"/>
      <c r="L41" s="12">
        <v>46216</v>
      </c>
      <c r="M41" s="10"/>
      <c r="N41" s="10"/>
      <c r="O41" s="10"/>
      <c r="P41" s="10"/>
      <c r="Q41" s="10"/>
    </row>
    <row r="42" spans="2:17" ht="25.5" x14ac:dyDescent="0.2">
      <c r="B42" s="14"/>
      <c r="C42" s="10" t="s">
        <v>289</v>
      </c>
      <c r="D42" s="10" t="s">
        <v>290</v>
      </c>
      <c r="E42" s="10" t="s">
        <v>291</v>
      </c>
      <c r="F42" s="10" t="s">
        <v>47</v>
      </c>
      <c r="G42" s="10" t="s">
        <v>187</v>
      </c>
      <c r="H42" s="10" t="s">
        <v>55</v>
      </c>
      <c r="I42" s="12"/>
      <c r="J42" s="12">
        <v>46202</v>
      </c>
      <c r="K42" s="12"/>
      <c r="L42" s="12">
        <v>46244</v>
      </c>
      <c r="M42" s="10"/>
      <c r="N42" s="10"/>
      <c r="O42" s="10"/>
      <c r="P42" s="10"/>
      <c r="Q42" s="10"/>
    </row>
    <row r="43" spans="2:17" ht="25.5" x14ac:dyDescent="0.2">
      <c r="B43" s="14"/>
      <c r="C43" s="10" t="s">
        <v>292</v>
      </c>
      <c r="D43" s="10" t="s">
        <v>290</v>
      </c>
      <c r="E43" s="10" t="s">
        <v>293</v>
      </c>
      <c r="F43" s="10" t="s">
        <v>113</v>
      </c>
      <c r="G43" s="10" t="s">
        <v>294</v>
      </c>
      <c r="H43" s="10" t="s">
        <v>264</v>
      </c>
      <c r="I43" s="12"/>
      <c r="J43" s="12"/>
      <c r="K43" s="12"/>
      <c r="L43" s="12"/>
      <c r="M43" s="10"/>
      <c r="N43" s="10"/>
      <c r="O43" s="10"/>
      <c r="P43" s="10"/>
      <c r="Q43" s="10"/>
    </row>
    <row r="44" spans="2:17" ht="38.25" x14ac:dyDescent="0.2">
      <c r="B44" s="14"/>
      <c r="C44" s="10" t="s">
        <v>295</v>
      </c>
      <c r="D44" s="10" t="s">
        <v>296</v>
      </c>
      <c r="E44" s="10" t="s">
        <v>297</v>
      </c>
      <c r="F44" s="10" t="s">
        <v>47</v>
      </c>
      <c r="G44" s="10" t="s">
        <v>78</v>
      </c>
      <c r="H44" s="10" t="s">
        <v>55</v>
      </c>
      <c r="I44" s="10" t="s">
        <v>298</v>
      </c>
      <c r="J44" s="12">
        <v>46202</v>
      </c>
      <c r="K44" s="12"/>
      <c r="L44" s="12">
        <v>46223</v>
      </c>
      <c r="M44" s="10"/>
      <c r="N44" s="10"/>
      <c r="O44" s="10"/>
      <c r="P44" s="10"/>
      <c r="Q44" s="10"/>
    </row>
    <row r="45" spans="2:17" ht="25.5" x14ac:dyDescent="0.2">
      <c r="B45" s="14"/>
      <c r="C45" s="10" t="s">
        <v>299</v>
      </c>
      <c r="D45" s="10" t="s">
        <v>296</v>
      </c>
      <c r="E45" s="10" t="s">
        <v>300</v>
      </c>
      <c r="F45" s="10" t="s">
        <v>76</v>
      </c>
      <c r="G45" s="10" t="s">
        <v>301</v>
      </c>
      <c r="H45" s="10" t="s">
        <v>55</v>
      </c>
      <c r="I45" s="12"/>
      <c r="J45" s="12"/>
      <c r="K45" s="12"/>
      <c r="L45" s="12"/>
      <c r="M45" s="10"/>
      <c r="N45" s="10"/>
      <c r="O45" s="10"/>
      <c r="P45" s="10"/>
      <c r="Q45" s="10"/>
    </row>
    <row r="46" spans="2:17" ht="12.75" x14ac:dyDescent="0.2">
      <c r="B46" s="14"/>
      <c r="C46" s="10" t="s">
        <v>302</v>
      </c>
      <c r="D46" s="10" t="s">
        <v>303</v>
      </c>
      <c r="E46" s="10" t="s">
        <v>304</v>
      </c>
      <c r="F46" s="10" t="s">
        <v>113</v>
      </c>
      <c r="G46" s="10" t="s">
        <v>272</v>
      </c>
      <c r="H46" s="10" t="s">
        <v>241</v>
      </c>
      <c r="I46" s="12"/>
      <c r="J46" s="12"/>
      <c r="K46" s="12"/>
      <c r="L46" s="12"/>
      <c r="M46" s="10"/>
      <c r="N46" s="10"/>
      <c r="O46" s="10"/>
      <c r="P46" s="10"/>
      <c r="Q46" s="10"/>
    </row>
    <row r="47" spans="2:17" ht="25.5" x14ac:dyDescent="0.2">
      <c r="B47" s="10"/>
      <c r="C47" s="10" t="s">
        <v>305</v>
      </c>
      <c r="D47" s="10" t="s">
        <v>306</v>
      </c>
      <c r="E47" s="10" t="s">
        <v>307</v>
      </c>
      <c r="F47" s="10" t="s">
        <v>113</v>
      </c>
      <c r="G47" s="10" t="s">
        <v>187</v>
      </c>
      <c r="H47" s="10" t="s">
        <v>55</v>
      </c>
      <c r="I47" s="12"/>
      <c r="J47" s="12">
        <v>46202</v>
      </c>
      <c r="K47" s="12"/>
      <c r="L47" s="12">
        <v>46223</v>
      </c>
      <c r="M47" s="10"/>
      <c r="N47" s="10"/>
      <c r="O47" s="10"/>
      <c r="P47" s="10"/>
      <c r="Q47" s="10"/>
    </row>
    <row r="48" spans="2:17" ht="12.75" x14ac:dyDescent="0.2">
      <c r="B48" s="10"/>
      <c r="C48" s="10" t="s">
        <v>308</v>
      </c>
      <c r="D48" s="10" t="s">
        <v>309</v>
      </c>
      <c r="E48" s="10" t="s">
        <v>310</v>
      </c>
      <c r="F48" s="10" t="s">
        <v>76</v>
      </c>
      <c r="G48" s="10" t="s">
        <v>298</v>
      </c>
      <c r="H48" s="10" t="s">
        <v>55</v>
      </c>
      <c r="I48" s="12"/>
      <c r="J48" s="12">
        <v>46206</v>
      </c>
      <c r="K48" s="12"/>
      <c r="L48" s="12">
        <v>46216</v>
      </c>
      <c r="M48" s="10"/>
      <c r="N48" s="10"/>
      <c r="O48" s="10"/>
      <c r="P48" s="10"/>
      <c r="Q48" s="10"/>
    </row>
    <row r="49" spans="2:17" ht="25.5" x14ac:dyDescent="0.2">
      <c r="B49" s="10"/>
      <c r="C49" s="10" t="s">
        <v>311</v>
      </c>
      <c r="D49" s="10" t="s">
        <v>312</v>
      </c>
      <c r="E49" s="10" t="s">
        <v>313</v>
      </c>
      <c r="F49" s="10" t="s">
        <v>76</v>
      </c>
      <c r="G49" s="10" t="s">
        <v>187</v>
      </c>
      <c r="H49" s="10" t="s">
        <v>55</v>
      </c>
      <c r="I49" s="12"/>
      <c r="J49" s="12">
        <v>46206</v>
      </c>
      <c r="K49" s="12"/>
      <c r="L49" s="12">
        <v>46216</v>
      </c>
      <c r="M49" s="10"/>
      <c r="N49" s="10"/>
      <c r="O49" s="10"/>
      <c r="P49" s="10"/>
      <c r="Q49" s="10"/>
    </row>
    <row r="50" spans="2:17" ht="25.5" x14ac:dyDescent="0.2">
      <c r="B50" s="10"/>
      <c r="C50" s="10" t="s">
        <v>314</v>
      </c>
      <c r="D50" s="10" t="s">
        <v>315</v>
      </c>
      <c r="E50" s="10" t="s">
        <v>316</v>
      </c>
      <c r="F50" s="10" t="s">
        <v>76</v>
      </c>
      <c r="G50" s="10" t="s">
        <v>317</v>
      </c>
      <c r="H50" s="10" t="s">
        <v>55</v>
      </c>
      <c r="I50" s="12"/>
      <c r="J50" s="12">
        <v>46206</v>
      </c>
      <c r="K50" s="12"/>
      <c r="L50" s="12">
        <v>46216</v>
      </c>
      <c r="M50" s="10"/>
      <c r="N50" s="10"/>
      <c r="O50" s="10"/>
      <c r="P50" s="10"/>
      <c r="Q50" s="10"/>
    </row>
    <row r="51" spans="2:17" ht="25.5" x14ac:dyDescent="0.2">
      <c r="B51" s="10"/>
      <c r="C51" s="10" t="s">
        <v>318</v>
      </c>
      <c r="D51" s="10" t="s">
        <v>319</v>
      </c>
      <c r="E51" s="10" t="s">
        <v>320</v>
      </c>
      <c r="F51" s="10" t="s">
        <v>76</v>
      </c>
      <c r="G51" s="10" t="s">
        <v>187</v>
      </c>
      <c r="H51" s="10" t="s">
        <v>55</v>
      </c>
      <c r="I51" s="12"/>
      <c r="J51" s="12">
        <v>46209</v>
      </c>
      <c r="K51" s="12"/>
      <c r="L51" s="12">
        <v>46236</v>
      </c>
      <c r="M51" s="10"/>
      <c r="N51" s="10"/>
      <c r="O51" s="10"/>
      <c r="P51" s="10"/>
      <c r="Q51" s="10"/>
    </row>
    <row r="52" spans="2:17" ht="25.5" x14ac:dyDescent="0.2">
      <c r="B52" s="10"/>
      <c r="C52" s="10" t="s">
        <v>321</v>
      </c>
      <c r="D52" s="10" t="s">
        <v>266</v>
      </c>
      <c r="E52" s="21" t="s">
        <v>322</v>
      </c>
      <c r="F52" s="10" t="s">
        <v>47</v>
      </c>
      <c r="G52" s="10" t="s">
        <v>187</v>
      </c>
      <c r="H52" s="10" t="s">
        <v>55</v>
      </c>
      <c r="I52" s="12"/>
      <c r="J52" s="12">
        <v>46209</v>
      </c>
      <c r="K52" s="12"/>
      <c r="L52" s="12">
        <v>46233</v>
      </c>
      <c r="M52" s="10"/>
      <c r="N52" s="10"/>
      <c r="O52" s="10"/>
      <c r="P52" s="10"/>
      <c r="Q52" s="10"/>
    </row>
    <row r="53" spans="2:17" ht="38.25" x14ac:dyDescent="0.2">
      <c r="B53" s="10"/>
      <c r="C53" s="10" t="s">
        <v>323</v>
      </c>
      <c r="D53" s="10" t="s">
        <v>324</v>
      </c>
      <c r="E53" s="10" t="s">
        <v>325</v>
      </c>
      <c r="F53" s="10" t="s">
        <v>113</v>
      </c>
      <c r="G53" s="10" t="s">
        <v>187</v>
      </c>
      <c r="H53" s="10" t="s">
        <v>55</v>
      </c>
      <c r="I53" s="12"/>
      <c r="J53" s="12">
        <v>46209</v>
      </c>
      <c r="K53" s="12"/>
      <c r="L53" s="12">
        <v>46223</v>
      </c>
      <c r="M53" s="10"/>
      <c r="N53" s="10"/>
      <c r="O53" s="10"/>
      <c r="P53" s="10"/>
      <c r="Q53" s="10"/>
    </row>
    <row r="54" spans="2:17" ht="51" x14ac:dyDescent="0.2">
      <c r="B54" s="10"/>
      <c r="C54" s="10" t="s">
        <v>326</v>
      </c>
      <c r="D54" s="10" t="s">
        <v>327</v>
      </c>
      <c r="E54" s="10" t="s">
        <v>328</v>
      </c>
      <c r="F54" s="10" t="s">
        <v>76</v>
      </c>
      <c r="G54" s="10" t="s">
        <v>78</v>
      </c>
      <c r="H54" s="10" t="s">
        <v>55</v>
      </c>
      <c r="I54" s="10" t="s">
        <v>298</v>
      </c>
      <c r="J54" s="12">
        <v>46211</v>
      </c>
      <c r="K54" s="12"/>
      <c r="L54" s="12">
        <v>46223</v>
      </c>
      <c r="M54" s="10"/>
      <c r="N54" s="10"/>
      <c r="O54" s="10"/>
      <c r="P54" s="10"/>
      <c r="Q54" s="10"/>
    </row>
    <row r="55" spans="2:17" ht="38.25" x14ac:dyDescent="0.2">
      <c r="B55" s="10"/>
      <c r="C55" s="10" t="s">
        <v>329</v>
      </c>
      <c r="D55" s="10" t="s">
        <v>330</v>
      </c>
      <c r="E55" s="10" t="s">
        <v>331</v>
      </c>
      <c r="F55" s="10" t="s">
        <v>76</v>
      </c>
      <c r="G55" s="10" t="s">
        <v>49</v>
      </c>
      <c r="H55" s="10" t="s">
        <v>241</v>
      </c>
      <c r="I55" s="12"/>
      <c r="J55" s="12"/>
      <c r="K55" s="12"/>
      <c r="L55" s="12"/>
      <c r="M55" s="10"/>
      <c r="N55" s="10"/>
      <c r="O55" s="10"/>
      <c r="P55" s="10"/>
      <c r="Q55" s="10"/>
    </row>
    <row r="56" spans="2:17" ht="38.25" x14ac:dyDescent="0.2">
      <c r="B56" s="10"/>
      <c r="C56" s="10" t="s">
        <v>332</v>
      </c>
      <c r="D56" s="10" t="s">
        <v>333</v>
      </c>
      <c r="E56" s="10" t="s">
        <v>334</v>
      </c>
      <c r="F56" s="10" t="s">
        <v>76</v>
      </c>
      <c r="G56" s="10" t="s">
        <v>335</v>
      </c>
      <c r="H56" s="10" t="s">
        <v>55</v>
      </c>
      <c r="I56" s="12"/>
      <c r="J56" s="12">
        <v>46214</v>
      </c>
      <c r="K56" s="12"/>
      <c r="L56" s="12">
        <v>46244</v>
      </c>
      <c r="M56" s="10"/>
      <c r="N56" s="10"/>
      <c r="O56" s="10"/>
      <c r="P56" s="10"/>
      <c r="Q56" s="10"/>
    </row>
    <row r="57" spans="2:17" ht="38.25" x14ac:dyDescent="0.2">
      <c r="B57" s="10"/>
      <c r="C57" s="10" t="s">
        <v>336</v>
      </c>
      <c r="D57" s="10" t="s">
        <v>337</v>
      </c>
      <c r="E57" s="10" t="s">
        <v>338</v>
      </c>
      <c r="F57" s="10" t="s">
        <v>76</v>
      </c>
      <c r="G57" s="10" t="s">
        <v>78</v>
      </c>
      <c r="H57" s="10" t="s">
        <v>55</v>
      </c>
      <c r="I57" s="12"/>
      <c r="J57" s="12">
        <v>46214</v>
      </c>
      <c r="K57" s="12"/>
      <c r="L57" s="12">
        <v>46219</v>
      </c>
      <c r="M57" s="10"/>
      <c r="N57" s="10"/>
      <c r="O57" s="10"/>
      <c r="P57" s="10"/>
      <c r="Q57" s="10"/>
    </row>
    <row r="58" spans="2:17" ht="38.25" x14ac:dyDescent="0.2">
      <c r="B58" s="10"/>
      <c r="C58" s="10" t="s">
        <v>339</v>
      </c>
      <c r="D58" s="10" t="s">
        <v>340</v>
      </c>
      <c r="E58" s="10" t="s">
        <v>341</v>
      </c>
      <c r="F58" s="10" t="s">
        <v>76</v>
      </c>
      <c r="G58" s="10" t="s">
        <v>272</v>
      </c>
      <c r="H58" s="10" t="s">
        <v>55</v>
      </c>
      <c r="I58" s="12"/>
      <c r="J58" s="12">
        <v>46216</v>
      </c>
      <c r="K58" s="12"/>
      <c r="L58" s="12"/>
      <c r="M58" s="10"/>
      <c r="N58" s="10"/>
      <c r="O58" s="10"/>
      <c r="P58" s="10"/>
      <c r="Q58" s="10"/>
    </row>
    <row r="59" spans="2:17" ht="25.5" x14ac:dyDescent="0.2">
      <c r="B59" s="10"/>
      <c r="C59" s="10" t="s">
        <v>342</v>
      </c>
      <c r="D59" s="10" t="s">
        <v>340</v>
      </c>
      <c r="E59" s="10" t="s">
        <v>343</v>
      </c>
      <c r="F59" s="10" t="s">
        <v>76</v>
      </c>
      <c r="G59" s="10" t="s">
        <v>272</v>
      </c>
      <c r="H59" s="10" t="s">
        <v>55</v>
      </c>
      <c r="I59" s="12"/>
      <c r="J59" s="12">
        <v>46216</v>
      </c>
      <c r="K59" s="12"/>
      <c r="L59" s="12"/>
      <c r="M59" s="10"/>
      <c r="N59" s="10"/>
      <c r="O59" s="10"/>
      <c r="P59" s="10"/>
      <c r="Q59" s="10"/>
    </row>
    <row r="60" spans="2:17" ht="25.5" x14ac:dyDescent="0.2">
      <c r="B60" s="10"/>
      <c r="C60" s="10" t="s">
        <v>344</v>
      </c>
      <c r="D60" s="10" t="s">
        <v>340</v>
      </c>
      <c r="E60" s="10" t="s">
        <v>345</v>
      </c>
      <c r="F60" s="10" t="s">
        <v>76</v>
      </c>
      <c r="G60" s="10" t="s">
        <v>272</v>
      </c>
      <c r="H60" s="10" t="s">
        <v>55</v>
      </c>
      <c r="I60" s="12"/>
      <c r="J60" s="12">
        <v>46216</v>
      </c>
      <c r="K60" s="12"/>
      <c r="L60" s="12"/>
      <c r="M60" s="10"/>
      <c r="N60" s="10"/>
      <c r="O60" s="10"/>
      <c r="P60" s="10"/>
      <c r="Q60" s="10"/>
    </row>
    <row r="61" spans="2:17" ht="38.25" x14ac:dyDescent="0.2">
      <c r="B61" s="10"/>
      <c r="C61" s="10" t="s">
        <v>346</v>
      </c>
      <c r="D61" s="10" t="s">
        <v>340</v>
      </c>
      <c r="E61" s="10" t="s">
        <v>347</v>
      </c>
      <c r="F61" s="10" t="s">
        <v>76</v>
      </c>
      <c r="G61" s="10" t="s">
        <v>272</v>
      </c>
      <c r="H61" s="10" t="s">
        <v>55</v>
      </c>
      <c r="I61" s="12"/>
      <c r="J61" s="12">
        <v>46216</v>
      </c>
      <c r="K61" s="12"/>
      <c r="L61" s="12"/>
      <c r="M61" s="10"/>
      <c r="N61" s="10"/>
      <c r="O61" s="10"/>
      <c r="P61" s="10"/>
      <c r="Q61" s="10"/>
    </row>
    <row r="62" spans="2:17" ht="38.25" x14ac:dyDescent="0.2">
      <c r="B62" s="10"/>
      <c r="C62" s="10" t="s">
        <v>348</v>
      </c>
      <c r="D62" s="10" t="s">
        <v>109</v>
      </c>
      <c r="E62" s="10" t="s">
        <v>349</v>
      </c>
      <c r="F62" s="10" t="s">
        <v>76</v>
      </c>
      <c r="G62" s="10" t="s">
        <v>115</v>
      </c>
      <c r="H62" s="10" t="s">
        <v>163</v>
      </c>
      <c r="I62" s="12"/>
      <c r="J62" s="12"/>
      <c r="K62" s="12"/>
      <c r="L62" s="12"/>
      <c r="M62" s="10"/>
      <c r="N62" s="10"/>
      <c r="O62" s="10"/>
      <c r="P62" s="10"/>
      <c r="Q62" s="10"/>
    </row>
    <row r="63" spans="2:17" ht="51" x14ac:dyDescent="0.2">
      <c r="B63" s="10"/>
      <c r="C63" s="10" t="s">
        <v>350</v>
      </c>
      <c r="D63" s="10" t="s">
        <v>351</v>
      </c>
      <c r="E63" s="10" t="s">
        <v>352</v>
      </c>
      <c r="F63" s="10" t="s">
        <v>113</v>
      </c>
      <c r="G63" s="10" t="s">
        <v>78</v>
      </c>
      <c r="H63" s="10" t="s">
        <v>163</v>
      </c>
      <c r="I63" s="12"/>
      <c r="J63" s="12">
        <v>46216</v>
      </c>
      <c r="K63" s="12"/>
      <c r="L63" s="12"/>
      <c r="M63" s="10"/>
      <c r="N63" s="10"/>
      <c r="O63" s="10"/>
      <c r="P63" s="10"/>
      <c r="Q63" s="10"/>
    </row>
    <row r="64" spans="2:17" ht="38.25" x14ac:dyDescent="0.2">
      <c r="B64" s="10"/>
      <c r="C64" s="10" t="s">
        <v>353</v>
      </c>
      <c r="D64" s="10" t="s">
        <v>354</v>
      </c>
      <c r="E64" s="10" t="s">
        <v>355</v>
      </c>
      <c r="F64" s="10" t="s">
        <v>47</v>
      </c>
      <c r="G64" s="10" t="s">
        <v>78</v>
      </c>
      <c r="H64" s="10" t="s">
        <v>55</v>
      </c>
      <c r="I64" s="12"/>
      <c r="J64" s="12">
        <v>46216</v>
      </c>
      <c r="K64" s="12"/>
      <c r="L64" s="12">
        <v>46244</v>
      </c>
      <c r="M64" s="10"/>
      <c r="N64" s="10"/>
      <c r="O64" s="10"/>
      <c r="P64" s="10"/>
      <c r="Q64" s="10"/>
    </row>
    <row r="65" spans="2:17" ht="25.5" x14ac:dyDescent="0.2">
      <c r="B65" s="10"/>
      <c r="C65" s="10" t="s">
        <v>356</v>
      </c>
      <c r="D65" s="10" t="s">
        <v>340</v>
      </c>
      <c r="E65" s="10" t="s">
        <v>357</v>
      </c>
      <c r="F65" s="10" t="s">
        <v>47</v>
      </c>
      <c r="G65" s="10" t="s">
        <v>187</v>
      </c>
      <c r="H65" s="10" t="s">
        <v>55</v>
      </c>
      <c r="I65" s="12"/>
      <c r="J65" s="12">
        <v>46216</v>
      </c>
      <c r="K65" s="12"/>
      <c r="L65" s="12">
        <v>46233</v>
      </c>
      <c r="M65" s="10"/>
      <c r="N65" s="10"/>
      <c r="O65" s="10"/>
      <c r="P65" s="10"/>
      <c r="Q65" s="10"/>
    </row>
    <row r="66" spans="2:17" ht="38.25" x14ac:dyDescent="0.2">
      <c r="B66" s="10"/>
      <c r="C66" s="10" t="s">
        <v>358</v>
      </c>
      <c r="D66" s="10" t="s">
        <v>340</v>
      </c>
      <c r="E66" s="10" t="s">
        <v>359</v>
      </c>
      <c r="F66" s="10" t="s">
        <v>47</v>
      </c>
      <c r="G66" s="10" t="s">
        <v>335</v>
      </c>
      <c r="H66" s="10" t="s">
        <v>55</v>
      </c>
      <c r="I66" s="12"/>
      <c r="J66" s="12">
        <v>46216</v>
      </c>
      <c r="K66" s="12"/>
      <c r="L66" s="12">
        <v>46223</v>
      </c>
      <c r="M66" s="10"/>
      <c r="N66" s="10"/>
      <c r="O66" s="10"/>
      <c r="P66" s="10"/>
      <c r="Q66" s="10"/>
    </row>
    <row r="67" spans="2:17" ht="51" x14ac:dyDescent="0.2">
      <c r="B67" s="10"/>
      <c r="C67" s="10" t="s">
        <v>360</v>
      </c>
      <c r="D67" s="10" t="s">
        <v>361</v>
      </c>
      <c r="E67" s="10" t="s">
        <v>362</v>
      </c>
      <c r="F67" s="10" t="s">
        <v>76</v>
      </c>
      <c r="G67" s="10" t="s">
        <v>363</v>
      </c>
      <c r="H67" s="10" t="s">
        <v>279</v>
      </c>
      <c r="I67" s="12"/>
      <c r="J67" s="12">
        <v>46214</v>
      </c>
      <c r="K67" s="12"/>
      <c r="L67" s="12"/>
      <c r="M67" s="10"/>
      <c r="N67" s="10"/>
      <c r="O67" s="10"/>
      <c r="P67" s="10"/>
      <c r="Q67" s="10"/>
    </row>
    <row r="68" spans="2:17" ht="38.25" x14ac:dyDescent="0.2">
      <c r="B68" s="10"/>
      <c r="C68" s="10" t="s">
        <v>364</v>
      </c>
      <c r="D68" s="10" t="s">
        <v>340</v>
      </c>
      <c r="E68" s="10" t="s">
        <v>365</v>
      </c>
      <c r="F68" s="10" t="s">
        <v>47</v>
      </c>
      <c r="G68" s="10" t="s">
        <v>363</v>
      </c>
      <c r="H68" s="10" t="s">
        <v>279</v>
      </c>
      <c r="I68" s="12"/>
      <c r="J68" s="12">
        <v>46214</v>
      </c>
      <c r="K68" s="12"/>
      <c r="L68" s="12"/>
      <c r="M68" s="10"/>
      <c r="N68" s="10"/>
      <c r="O68" s="10"/>
      <c r="P68" s="10"/>
      <c r="Q68" s="10"/>
    </row>
    <row r="69" spans="2:17" ht="38.25" x14ac:dyDescent="0.2">
      <c r="B69" s="10"/>
      <c r="C69" s="10" t="s">
        <v>366</v>
      </c>
      <c r="D69" s="10" t="s">
        <v>367</v>
      </c>
      <c r="E69" s="10" t="s">
        <v>368</v>
      </c>
      <c r="F69" s="10" t="s">
        <v>47</v>
      </c>
      <c r="G69" s="10" t="s">
        <v>369</v>
      </c>
      <c r="H69" s="10"/>
      <c r="I69" s="12"/>
      <c r="J69" s="12">
        <v>46214</v>
      </c>
      <c r="K69" s="12"/>
      <c r="L69" s="12"/>
      <c r="M69" s="10"/>
      <c r="N69" s="10"/>
      <c r="O69" s="10"/>
      <c r="P69" s="10"/>
      <c r="Q69" s="10"/>
    </row>
    <row r="70" spans="2:17" ht="38.25" x14ac:dyDescent="0.2">
      <c r="B70" s="10"/>
      <c r="C70" s="10" t="s">
        <v>370</v>
      </c>
      <c r="D70" s="10" t="s">
        <v>371</v>
      </c>
      <c r="E70" s="10" t="s">
        <v>372</v>
      </c>
      <c r="F70" s="10" t="s">
        <v>47</v>
      </c>
      <c r="G70" s="10" t="s">
        <v>272</v>
      </c>
      <c r="H70" s="10" t="s">
        <v>264</v>
      </c>
      <c r="I70" s="12"/>
      <c r="J70" s="12">
        <v>46216</v>
      </c>
      <c r="K70" s="12"/>
      <c r="L70" s="12"/>
      <c r="M70" s="10"/>
      <c r="N70" s="10"/>
      <c r="O70" s="10"/>
      <c r="P70" s="10"/>
      <c r="Q70" s="10"/>
    </row>
    <row r="71" spans="2:17" ht="25.5" x14ac:dyDescent="0.2">
      <c r="B71" s="10"/>
      <c r="C71" s="10" t="s">
        <v>373</v>
      </c>
      <c r="D71" s="10" t="s">
        <v>374</v>
      </c>
      <c r="E71" s="10" t="s">
        <v>375</v>
      </c>
      <c r="F71" s="10" t="s">
        <v>76</v>
      </c>
      <c r="G71" s="10" t="s">
        <v>272</v>
      </c>
      <c r="H71" s="10" t="s">
        <v>55</v>
      </c>
      <c r="I71" s="12"/>
      <c r="J71" s="12">
        <v>46202</v>
      </c>
      <c r="K71" s="12"/>
      <c r="L71" s="12">
        <v>46203</v>
      </c>
      <c r="M71" s="10"/>
      <c r="N71" s="10"/>
      <c r="O71" s="10"/>
      <c r="P71" s="10"/>
      <c r="Q71" s="10"/>
    </row>
    <row r="72" spans="2:17" ht="51" x14ac:dyDescent="0.2">
      <c r="B72" s="10"/>
      <c r="C72" s="10" t="s">
        <v>376</v>
      </c>
      <c r="D72" s="10" t="s">
        <v>377</v>
      </c>
      <c r="E72" s="10" t="s">
        <v>378</v>
      </c>
      <c r="F72" s="10" t="s">
        <v>76</v>
      </c>
      <c r="G72" s="10" t="s">
        <v>187</v>
      </c>
      <c r="H72" s="10" t="s">
        <v>279</v>
      </c>
      <c r="I72" s="12"/>
      <c r="J72" s="12">
        <v>46219</v>
      </c>
      <c r="K72" s="12"/>
      <c r="L72" s="12"/>
      <c r="M72" s="10"/>
      <c r="N72" s="10"/>
      <c r="O72" s="10"/>
      <c r="P72" s="10"/>
      <c r="Q72" s="10"/>
    </row>
    <row r="73" spans="2:17" ht="63.75" x14ac:dyDescent="0.2">
      <c r="B73" s="10"/>
      <c r="C73" s="10" t="s">
        <v>379</v>
      </c>
      <c r="D73" s="10" t="s">
        <v>380</v>
      </c>
      <c r="E73" s="10" t="s">
        <v>381</v>
      </c>
      <c r="F73" s="10" t="s">
        <v>47</v>
      </c>
      <c r="G73" s="10" t="s">
        <v>78</v>
      </c>
      <c r="H73" s="10" t="s">
        <v>55</v>
      </c>
      <c r="I73" s="12"/>
      <c r="J73" s="12"/>
      <c r="K73" s="12"/>
      <c r="L73" s="12"/>
      <c r="M73" s="10"/>
      <c r="N73" s="10"/>
      <c r="O73" s="10"/>
      <c r="P73" s="10"/>
      <c r="Q73" s="10"/>
    </row>
    <row r="74" spans="2:17" ht="38.25" x14ac:dyDescent="0.2">
      <c r="B74" s="10"/>
      <c r="C74" s="10" t="s">
        <v>382</v>
      </c>
      <c r="D74" s="10" t="s">
        <v>383</v>
      </c>
      <c r="E74" s="10" t="s">
        <v>384</v>
      </c>
      <c r="F74" s="10" t="s">
        <v>47</v>
      </c>
      <c r="G74" s="10" t="s">
        <v>272</v>
      </c>
      <c r="H74" s="10" t="s">
        <v>55</v>
      </c>
      <c r="I74" s="12"/>
      <c r="J74" s="12">
        <v>46219</v>
      </c>
      <c r="K74" s="12"/>
      <c r="L74" s="12"/>
      <c r="M74" s="10"/>
      <c r="N74" s="10"/>
      <c r="O74" s="10"/>
      <c r="P74" s="10"/>
      <c r="Q74" s="10"/>
    </row>
    <row r="75" spans="2:17" ht="25.5" x14ac:dyDescent="0.2">
      <c r="B75" s="10"/>
      <c r="C75" s="10" t="s">
        <v>385</v>
      </c>
      <c r="D75" s="10" t="s">
        <v>386</v>
      </c>
      <c r="E75" s="10" t="s">
        <v>387</v>
      </c>
      <c r="F75" s="10" t="s">
        <v>113</v>
      </c>
      <c r="G75" s="10" t="s">
        <v>388</v>
      </c>
      <c r="H75" s="10"/>
      <c r="I75" s="12"/>
      <c r="J75" s="12">
        <v>46219</v>
      </c>
      <c r="K75" s="12"/>
      <c r="L75" s="12"/>
      <c r="M75" s="10"/>
      <c r="N75" s="10"/>
      <c r="O75" s="10"/>
      <c r="P75" s="10"/>
      <c r="Q75" s="10"/>
    </row>
    <row r="76" spans="2:17" ht="51" x14ac:dyDescent="0.2">
      <c r="B76" s="10"/>
      <c r="C76" s="10" t="s">
        <v>389</v>
      </c>
      <c r="D76" s="10" t="s">
        <v>386</v>
      </c>
      <c r="E76" s="10" t="s">
        <v>390</v>
      </c>
      <c r="F76" s="10" t="s">
        <v>113</v>
      </c>
      <c r="G76" s="10" t="s">
        <v>78</v>
      </c>
      <c r="H76" s="10"/>
      <c r="I76" s="12"/>
      <c r="J76" s="12">
        <v>46219</v>
      </c>
      <c r="K76" s="12"/>
      <c r="L76" s="12"/>
      <c r="M76" s="10"/>
      <c r="N76" s="10"/>
      <c r="O76" s="10"/>
      <c r="P76" s="10"/>
      <c r="Q76" s="10"/>
    </row>
    <row r="77" spans="2:17" ht="12.75" x14ac:dyDescent="0.2">
      <c r="B77" s="10"/>
      <c r="C77" s="10" t="s">
        <v>391</v>
      </c>
      <c r="D77" s="10" t="s">
        <v>392</v>
      </c>
      <c r="E77" s="10" t="s">
        <v>393</v>
      </c>
      <c r="F77" s="10" t="s">
        <v>113</v>
      </c>
      <c r="G77" s="10"/>
      <c r="H77" s="10"/>
      <c r="I77" s="12"/>
      <c r="J77" s="12"/>
      <c r="K77" s="12"/>
      <c r="L77" s="12"/>
      <c r="M77" s="10"/>
      <c r="N77" s="10"/>
      <c r="O77" s="10"/>
      <c r="P77" s="10"/>
      <c r="Q77" s="10"/>
    </row>
    <row r="78" spans="2:17" ht="25.5" x14ac:dyDescent="0.2">
      <c r="B78" s="10"/>
      <c r="C78" s="10" t="s">
        <v>394</v>
      </c>
      <c r="D78" s="10" t="s">
        <v>395</v>
      </c>
      <c r="E78" s="10" t="s">
        <v>396</v>
      </c>
      <c r="F78" s="10" t="s">
        <v>113</v>
      </c>
      <c r="G78" s="10" t="s">
        <v>78</v>
      </c>
      <c r="H78" s="10"/>
      <c r="I78" s="12"/>
      <c r="J78" s="12"/>
      <c r="K78" s="12"/>
      <c r="L78" s="12"/>
      <c r="M78" s="10"/>
      <c r="N78" s="10"/>
      <c r="O78" s="10"/>
      <c r="P78" s="10"/>
      <c r="Q78" s="10"/>
    </row>
    <row r="79" spans="2:17" ht="38.25" x14ac:dyDescent="0.2">
      <c r="B79" s="10"/>
      <c r="C79" s="10" t="s">
        <v>397</v>
      </c>
      <c r="D79" s="10" t="s">
        <v>398</v>
      </c>
      <c r="E79" s="24" t="s">
        <v>399</v>
      </c>
      <c r="F79" s="10" t="s">
        <v>76</v>
      </c>
      <c r="G79" s="10" t="s">
        <v>272</v>
      </c>
      <c r="H79" s="10" t="s">
        <v>55</v>
      </c>
      <c r="I79" s="12"/>
      <c r="J79" s="12"/>
      <c r="K79" s="12"/>
      <c r="L79" s="12"/>
      <c r="M79" s="10"/>
      <c r="N79" s="10"/>
      <c r="O79" s="10"/>
      <c r="P79" s="10"/>
      <c r="Q79" s="10"/>
    </row>
    <row r="80" spans="2:17" ht="38.25" x14ac:dyDescent="0.2">
      <c r="B80" s="10"/>
      <c r="C80" s="10" t="s">
        <v>400</v>
      </c>
      <c r="D80" s="10" t="s">
        <v>401</v>
      </c>
      <c r="E80" s="10" t="s">
        <v>402</v>
      </c>
      <c r="F80" s="10" t="s">
        <v>76</v>
      </c>
      <c r="G80" s="10"/>
      <c r="H80" s="10" t="s">
        <v>55</v>
      </c>
      <c r="I80" s="12"/>
      <c r="J80" s="12">
        <v>46223</v>
      </c>
      <c r="K80" s="12"/>
      <c r="L80" s="12">
        <v>46233</v>
      </c>
      <c r="M80" s="10"/>
      <c r="N80" s="10"/>
      <c r="O80" s="10"/>
      <c r="P80" s="10"/>
      <c r="Q80" s="10"/>
    </row>
    <row r="81" spans="2:17" ht="38.25" x14ac:dyDescent="0.2">
      <c r="B81" s="10"/>
      <c r="C81" s="10" t="s">
        <v>403</v>
      </c>
      <c r="D81" s="10" t="s">
        <v>386</v>
      </c>
      <c r="E81" s="10" t="s">
        <v>404</v>
      </c>
      <c r="F81" s="10" t="s">
        <v>113</v>
      </c>
      <c r="G81" s="10" t="s">
        <v>78</v>
      </c>
      <c r="H81" s="10" t="s">
        <v>55</v>
      </c>
      <c r="I81" s="12"/>
      <c r="J81" s="12">
        <v>46223</v>
      </c>
      <c r="K81" s="12"/>
      <c r="L81" s="12"/>
      <c r="M81" s="10"/>
      <c r="N81" s="10"/>
      <c r="O81" s="10"/>
      <c r="P81" s="10"/>
      <c r="Q81" s="10"/>
    </row>
    <row r="82" spans="2:17" ht="25.5" x14ac:dyDescent="0.2">
      <c r="B82" s="10"/>
      <c r="C82" s="10" t="s">
        <v>405</v>
      </c>
      <c r="D82" s="10" t="s">
        <v>371</v>
      </c>
      <c r="E82" s="10" t="s">
        <v>406</v>
      </c>
      <c r="F82" s="10" t="s">
        <v>47</v>
      </c>
      <c r="G82" s="10" t="s">
        <v>78</v>
      </c>
      <c r="H82" s="10" t="s">
        <v>264</v>
      </c>
      <c r="I82" s="12"/>
      <c r="J82" s="12"/>
      <c r="K82" s="12"/>
      <c r="L82" s="12"/>
      <c r="M82" s="10"/>
      <c r="N82" s="10"/>
      <c r="O82" s="10"/>
      <c r="P82" s="10"/>
      <c r="Q82" s="10"/>
    </row>
    <row r="83" spans="2:17" ht="38.25" x14ac:dyDescent="0.2">
      <c r="B83" s="10"/>
      <c r="C83" s="10" t="s">
        <v>407</v>
      </c>
      <c r="D83" s="10" t="s">
        <v>408</v>
      </c>
      <c r="E83" s="10" t="s">
        <v>409</v>
      </c>
      <c r="F83" s="10" t="s">
        <v>76</v>
      </c>
      <c r="G83" s="10" t="s">
        <v>187</v>
      </c>
      <c r="H83" s="10" t="s">
        <v>55</v>
      </c>
      <c r="I83" s="12"/>
      <c r="J83" s="12">
        <v>46233</v>
      </c>
      <c r="K83" s="12"/>
      <c r="L83" s="12">
        <v>46244</v>
      </c>
      <c r="M83" s="10"/>
      <c r="N83" s="10"/>
      <c r="O83" s="10"/>
      <c r="P83" s="10"/>
      <c r="Q83" s="10"/>
    </row>
    <row r="84" spans="2:17" ht="38.25" x14ac:dyDescent="0.2">
      <c r="B84" s="10"/>
      <c r="C84" s="25" t="s">
        <v>410</v>
      </c>
      <c r="D84" s="10" t="s">
        <v>408</v>
      </c>
      <c r="E84" s="10" t="s">
        <v>411</v>
      </c>
      <c r="F84" s="10" t="s">
        <v>76</v>
      </c>
      <c r="G84" s="10" t="s">
        <v>187</v>
      </c>
      <c r="H84" s="10" t="s">
        <v>55</v>
      </c>
      <c r="I84" s="12"/>
      <c r="J84" s="12">
        <v>46233</v>
      </c>
      <c r="K84" s="12"/>
      <c r="L84" s="12">
        <v>46244</v>
      </c>
      <c r="M84" s="10"/>
      <c r="N84" s="10"/>
      <c r="O84" s="10"/>
      <c r="P84" s="10"/>
      <c r="Q84" s="10"/>
    </row>
    <row r="85" spans="2:17" ht="38.25" x14ac:dyDescent="0.2">
      <c r="B85" s="10"/>
      <c r="C85" s="10" t="s">
        <v>412</v>
      </c>
      <c r="D85" s="10" t="s">
        <v>386</v>
      </c>
      <c r="E85" s="10" t="s">
        <v>413</v>
      </c>
      <c r="F85" s="10" t="s">
        <v>76</v>
      </c>
      <c r="G85" s="10" t="s">
        <v>78</v>
      </c>
      <c r="H85" s="10" t="s">
        <v>55</v>
      </c>
      <c r="I85" s="12"/>
      <c r="J85" s="12">
        <v>46214</v>
      </c>
      <c r="K85" s="12"/>
      <c r="L85" s="12">
        <v>46244</v>
      </c>
      <c r="M85" s="10"/>
      <c r="N85" s="10"/>
      <c r="O85" s="10"/>
      <c r="P85" s="10"/>
      <c r="Q85" s="10"/>
    </row>
    <row r="86" spans="2:17" ht="51" x14ac:dyDescent="0.2">
      <c r="B86" s="10"/>
      <c r="C86" s="10" t="s">
        <v>414</v>
      </c>
      <c r="D86" s="10" t="s">
        <v>109</v>
      </c>
      <c r="E86" s="10" t="s">
        <v>415</v>
      </c>
      <c r="F86" s="10" t="s">
        <v>76</v>
      </c>
      <c r="G86" s="10" t="s">
        <v>115</v>
      </c>
      <c r="H86" s="10"/>
      <c r="I86" s="12"/>
      <c r="J86" s="12">
        <v>46214</v>
      </c>
      <c r="K86" s="12"/>
      <c r="L86" s="12"/>
      <c r="M86" s="10"/>
      <c r="N86" s="10"/>
      <c r="O86" s="10"/>
      <c r="P86" s="10"/>
      <c r="Q86" s="10"/>
    </row>
    <row r="87" spans="2:17" ht="51" x14ac:dyDescent="0.2">
      <c r="B87" s="10"/>
      <c r="C87" s="10" t="s">
        <v>416</v>
      </c>
      <c r="D87" s="10" t="s">
        <v>417</v>
      </c>
      <c r="E87" s="10" t="s">
        <v>418</v>
      </c>
      <c r="F87" s="10" t="s">
        <v>76</v>
      </c>
      <c r="G87" s="10" t="s">
        <v>419</v>
      </c>
      <c r="H87" s="10" t="s">
        <v>264</v>
      </c>
      <c r="I87" s="12"/>
      <c r="J87" s="12">
        <v>46233</v>
      </c>
      <c r="K87" s="12"/>
      <c r="L87" s="12"/>
      <c r="M87" s="10"/>
      <c r="N87" s="10"/>
      <c r="O87" s="10"/>
      <c r="P87" s="10"/>
      <c r="Q87" s="10"/>
    </row>
    <row r="88" spans="2:17" ht="38.25" x14ac:dyDescent="0.2">
      <c r="B88" s="10"/>
      <c r="C88" s="10" t="s">
        <v>420</v>
      </c>
      <c r="D88" s="10" t="s">
        <v>421</v>
      </c>
      <c r="E88" s="10" t="s">
        <v>422</v>
      </c>
      <c r="F88" s="10" t="s">
        <v>76</v>
      </c>
      <c r="G88" s="10" t="s">
        <v>78</v>
      </c>
      <c r="H88" s="10" t="s">
        <v>55</v>
      </c>
      <c r="I88" s="12"/>
      <c r="J88" s="12">
        <v>46233</v>
      </c>
      <c r="K88" s="12"/>
      <c r="L88" s="12">
        <v>46258</v>
      </c>
      <c r="M88" s="10"/>
      <c r="N88" s="10"/>
      <c r="O88" s="10"/>
      <c r="P88" s="10"/>
      <c r="Q88" s="10"/>
    </row>
    <row r="89" spans="2:17" ht="25.5" x14ac:dyDescent="0.2">
      <c r="B89" s="10"/>
      <c r="C89" s="10" t="s">
        <v>423</v>
      </c>
      <c r="D89" s="10" t="s">
        <v>424</v>
      </c>
      <c r="E89" s="10" t="s">
        <v>425</v>
      </c>
      <c r="F89" s="10" t="s">
        <v>76</v>
      </c>
      <c r="G89" s="10" t="s">
        <v>187</v>
      </c>
      <c r="H89" s="10" t="s">
        <v>55</v>
      </c>
      <c r="I89" s="12"/>
      <c r="J89" s="12">
        <v>46244</v>
      </c>
      <c r="K89" s="12"/>
      <c r="L89" s="12">
        <v>46258</v>
      </c>
      <c r="M89" s="10"/>
      <c r="N89" s="10"/>
      <c r="O89" s="10"/>
      <c r="P89" s="10"/>
      <c r="Q89" s="10"/>
    </row>
    <row r="90" spans="2:17" ht="38.25" x14ac:dyDescent="0.2">
      <c r="B90" s="10"/>
      <c r="C90" s="10" t="s">
        <v>426</v>
      </c>
      <c r="D90" s="10" t="s">
        <v>417</v>
      </c>
      <c r="E90" s="10" t="s">
        <v>427</v>
      </c>
      <c r="F90" s="10" t="s">
        <v>47</v>
      </c>
      <c r="G90" s="10" t="s">
        <v>78</v>
      </c>
      <c r="H90" s="10" t="s">
        <v>55</v>
      </c>
      <c r="I90" s="12"/>
      <c r="J90" s="12">
        <v>46244</v>
      </c>
      <c r="K90" s="12"/>
      <c r="L90" s="12">
        <v>46265</v>
      </c>
      <c r="M90" s="10"/>
      <c r="N90" s="10"/>
      <c r="O90" s="10"/>
      <c r="P90" s="10"/>
      <c r="Q90" s="10"/>
    </row>
    <row r="91" spans="2:17" ht="51" x14ac:dyDescent="0.2">
      <c r="B91" s="10"/>
      <c r="C91" s="10" t="s">
        <v>428</v>
      </c>
      <c r="D91" s="10" t="s">
        <v>421</v>
      </c>
      <c r="E91" s="10" t="s">
        <v>429</v>
      </c>
      <c r="F91" s="10"/>
      <c r="G91" s="10" t="s">
        <v>187</v>
      </c>
      <c r="H91" s="10" t="s">
        <v>55</v>
      </c>
      <c r="I91" s="12"/>
      <c r="J91" s="12">
        <v>46251</v>
      </c>
      <c r="K91" s="12"/>
      <c r="L91" s="12">
        <v>46258</v>
      </c>
      <c r="M91" s="10"/>
      <c r="N91" s="10"/>
      <c r="O91" s="10"/>
      <c r="P91" s="10"/>
      <c r="Q91" s="10"/>
    </row>
    <row r="92" spans="2:17" ht="25.5" x14ac:dyDescent="0.2">
      <c r="B92" s="10"/>
      <c r="C92" s="10" t="s">
        <v>430</v>
      </c>
      <c r="D92" s="10" t="s">
        <v>431</v>
      </c>
      <c r="E92" s="10" t="s">
        <v>432</v>
      </c>
      <c r="F92" s="10"/>
      <c r="G92" s="10" t="s">
        <v>433</v>
      </c>
      <c r="H92" s="10"/>
      <c r="I92" s="12"/>
      <c r="J92" s="12">
        <v>46258</v>
      </c>
      <c r="K92" s="12"/>
      <c r="L92" s="12"/>
      <c r="M92" s="10"/>
      <c r="N92" s="10"/>
      <c r="O92" s="10"/>
      <c r="P92" s="10"/>
      <c r="Q92" s="10"/>
    </row>
    <row r="93" spans="2:17" ht="25.5" x14ac:dyDescent="0.2">
      <c r="B93" s="10"/>
      <c r="C93" s="10" t="s">
        <v>434</v>
      </c>
      <c r="D93" s="10" t="s">
        <v>435</v>
      </c>
      <c r="E93" s="10" t="s">
        <v>436</v>
      </c>
      <c r="F93" s="10"/>
      <c r="G93" s="10" t="s">
        <v>115</v>
      </c>
      <c r="H93" s="10"/>
      <c r="I93" s="12"/>
      <c r="J93" s="12">
        <v>46251</v>
      </c>
      <c r="K93" s="12"/>
      <c r="L93" s="12"/>
      <c r="M93" s="10"/>
      <c r="N93" s="10"/>
      <c r="O93" s="10"/>
      <c r="P93" s="10"/>
      <c r="Q93" s="10"/>
    </row>
    <row r="94" spans="2:17" ht="25.5" x14ac:dyDescent="0.2">
      <c r="B94" s="10"/>
      <c r="C94" s="10" t="s">
        <v>437</v>
      </c>
      <c r="D94" s="10" t="s">
        <v>421</v>
      </c>
      <c r="E94" s="10" t="s">
        <v>438</v>
      </c>
      <c r="F94" s="10"/>
      <c r="G94" s="10" t="s">
        <v>187</v>
      </c>
      <c r="H94" s="10" t="s">
        <v>55</v>
      </c>
      <c r="I94" s="12"/>
      <c r="J94" s="12">
        <v>46251</v>
      </c>
      <c r="K94" s="12"/>
      <c r="L94" s="12">
        <v>46258</v>
      </c>
      <c r="M94" s="10"/>
      <c r="N94" s="10"/>
      <c r="O94" s="10"/>
      <c r="P94" s="10"/>
      <c r="Q94" s="10"/>
    </row>
    <row r="95" spans="2:17" ht="51" x14ac:dyDescent="0.2">
      <c r="B95" s="10"/>
      <c r="C95" s="10" t="s">
        <v>439</v>
      </c>
      <c r="D95" s="10" t="s">
        <v>440</v>
      </c>
      <c r="E95" s="10" t="s">
        <v>441</v>
      </c>
      <c r="F95" s="10"/>
      <c r="G95" s="10" t="s">
        <v>187</v>
      </c>
      <c r="H95" s="10" t="s">
        <v>55</v>
      </c>
      <c r="I95" s="12"/>
      <c r="J95" s="12"/>
      <c r="K95" s="12"/>
      <c r="L95" s="12"/>
      <c r="M95" s="10"/>
      <c r="N95" s="10"/>
      <c r="O95" s="10"/>
      <c r="P95" s="10"/>
      <c r="Q95" s="10"/>
    </row>
    <row r="96" spans="2:17" ht="25.5" x14ac:dyDescent="0.2">
      <c r="B96" s="10"/>
      <c r="C96" s="10" t="s">
        <v>442</v>
      </c>
      <c r="D96" s="10" t="s">
        <v>443</v>
      </c>
      <c r="E96" s="10" t="s">
        <v>444</v>
      </c>
      <c r="F96" s="10" t="s">
        <v>113</v>
      </c>
      <c r="G96" s="10" t="s">
        <v>115</v>
      </c>
      <c r="H96" s="10"/>
      <c r="I96" s="12"/>
      <c r="J96" s="12">
        <v>46258</v>
      </c>
      <c r="K96" s="12"/>
      <c r="L96" s="12"/>
      <c r="M96" s="10"/>
      <c r="N96" s="10"/>
      <c r="O96" s="10"/>
      <c r="P96" s="10"/>
      <c r="Q96" s="10"/>
    </row>
    <row r="97" spans="1:27" ht="25.5" x14ac:dyDescent="0.2">
      <c r="B97" s="10"/>
      <c r="C97" s="10" t="s">
        <v>445</v>
      </c>
      <c r="D97" s="10" t="s">
        <v>371</v>
      </c>
      <c r="E97" s="10" t="s">
        <v>446</v>
      </c>
      <c r="F97" s="10"/>
      <c r="G97" s="10" t="s">
        <v>187</v>
      </c>
      <c r="H97" s="10" t="s">
        <v>447</v>
      </c>
      <c r="I97" s="12"/>
      <c r="J97" s="12">
        <v>46261</v>
      </c>
      <c r="K97" s="12"/>
      <c r="L97" s="12"/>
      <c r="M97" s="10"/>
      <c r="N97" s="10"/>
      <c r="O97" s="10"/>
      <c r="P97" s="10"/>
      <c r="Q97" s="10"/>
    </row>
    <row r="98" spans="1:27" ht="51" x14ac:dyDescent="0.2">
      <c r="B98" s="10"/>
      <c r="C98" s="10" t="s">
        <v>448</v>
      </c>
      <c r="D98" s="10" t="s">
        <v>449</v>
      </c>
      <c r="E98" s="10" t="s">
        <v>450</v>
      </c>
      <c r="F98" s="10"/>
      <c r="G98" s="10" t="s">
        <v>78</v>
      </c>
      <c r="H98" s="10"/>
      <c r="I98" s="12"/>
      <c r="J98" s="12">
        <v>46258</v>
      </c>
      <c r="K98" s="12"/>
      <c r="L98" s="12"/>
      <c r="M98" s="10"/>
      <c r="N98" s="10"/>
      <c r="O98" s="10"/>
      <c r="P98" s="10"/>
      <c r="Q98" s="10"/>
    </row>
    <row r="99" spans="1:27" ht="25.5" x14ac:dyDescent="0.2">
      <c r="B99" s="10"/>
      <c r="C99" s="10" t="s">
        <v>451</v>
      </c>
      <c r="D99" s="10" t="s">
        <v>435</v>
      </c>
      <c r="E99" s="10" t="s">
        <v>452</v>
      </c>
      <c r="F99" s="10"/>
      <c r="G99" s="10" t="s">
        <v>115</v>
      </c>
      <c r="H99" s="10"/>
      <c r="I99" s="12"/>
      <c r="J99" s="12">
        <v>46258</v>
      </c>
      <c r="K99" s="12"/>
      <c r="L99" s="12"/>
      <c r="M99" s="10"/>
      <c r="N99" s="10"/>
      <c r="O99" s="10"/>
      <c r="P99" s="10"/>
      <c r="Q99" s="10"/>
    </row>
    <row r="100" spans="1:27" ht="25.5" x14ac:dyDescent="0.2">
      <c r="B100" s="10"/>
      <c r="C100" s="10" t="s">
        <v>453</v>
      </c>
      <c r="D100" s="10" t="s">
        <v>454</v>
      </c>
      <c r="E100" s="10" t="s">
        <v>455</v>
      </c>
      <c r="F100" s="10"/>
      <c r="G100" s="10" t="s">
        <v>115</v>
      </c>
      <c r="H100" s="10" t="s">
        <v>55</v>
      </c>
      <c r="I100" s="12"/>
      <c r="J100" s="12">
        <v>46258</v>
      </c>
      <c r="K100" s="12"/>
      <c r="L100" s="12">
        <v>46261</v>
      </c>
      <c r="M100" s="10"/>
      <c r="N100" s="10"/>
      <c r="O100" s="10"/>
      <c r="P100" s="10"/>
      <c r="Q100" s="10"/>
    </row>
    <row r="101" spans="1:27" ht="25.5" x14ac:dyDescent="0.2">
      <c r="B101" s="10"/>
      <c r="C101" s="10" t="s">
        <v>456</v>
      </c>
      <c r="D101" s="10" t="s">
        <v>457</v>
      </c>
      <c r="E101" s="10" t="s">
        <v>458</v>
      </c>
      <c r="F101" s="10"/>
      <c r="G101" s="10" t="s">
        <v>115</v>
      </c>
      <c r="H101" s="10" t="s">
        <v>55</v>
      </c>
      <c r="I101" s="12"/>
      <c r="J101" s="12">
        <v>46258</v>
      </c>
      <c r="K101" s="12"/>
      <c r="L101" s="12"/>
      <c r="M101" s="10"/>
      <c r="N101" s="10"/>
      <c r="O101" s="10"/>
      <c r="P101" s="10"/>
      <c r="Q101" s="10"/>
    </row>
    <row r="102" spans="1:27" ht="25.5" x14ac:dyDescent="0.2">
      <c r="B102" s="10"/>
      <c r="C102" s="10" t="s">
        <v>459</v>
      </c>
      <c r="D102" s="10" t="s">
        <v>460</v>
      </c>
      <c r="E102" s="10" t="s">
        <v>461</v>
      </c>
      <c r="F102" s="10"/>
      <c r="G102" s="10" t="s">
        <v>115</v>
      </c>
      <c r="H102" s="10" t="s">
        <v>55</v>
      </c>
      <c r="I102" s="12"/>
      <c r="J102" s="12">
        <v>46258</v>
      </c>
      <c r="K102" s="12"/>
      <c r="L102" s="12"/>
      <c r="M102" s="10"/>
      <c r="N102" s="10"/>
      <c r="O102" s="10"/>
      <c r="P102" s="10"/>
      <c r="Q102" s="10"/>
    </row>
    <row r="103" spans="1:27" ht="12.75" x14ac:dyDescent="0.2">
      <c r="B103" s="10"/>
      <c r="C103" s="10"/>
      <c r="D103" s="10"/>
      <c r="E103" s="10"/>
      <c r="F103" s="10"/>
      <c r="G103" s="10"/>
      <c r="H103" s="10"/>
      <c r="I103" s="12"/>
      <c r="J103" s="12"/>
      <c r="K103" s="12"/>
      <c r="L103" s="12"/>
      <c r="M103" s="10"/>
      <c r="N103" s="10"/>
      <c r="O103" s="10"/>
      <c r="P103" s="10"/>
      <c r="Q103" s="10"/>
    </row>
    <row r="104" spans="1:27" ht="12.75" x14ac:dyDescent="0.2">
      <c r="A104" s="22"/>
      <c r="B104" s="10"/>
      <c r="C104" s="10"/>
      <c r="D104" s="10"/>
      <c r="E104" s="10"/>
      <c r="F104" s="10"/>
      <c r="G104" s="10"/>
      <c r="H104" s="10"/>
      <c r="I104" s="12"/>
      <c r="J104" s="12"/>
      <c r="K104" s="12"/>
      <c r="L104" s="12"/>
      <c r="M104" s="10"/>
      <c r="N104" s="10"/>
      <c r="O104" s="10"/>
      <c r="P104" s="10"/>
      <c r="Q104" s="10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</sheetData>
  <autoFilter ref="H1:H1004" xr:uid="{00000000-0009-0000-0000-000001000000}"/>
  <conditionalFormatting sqref="H4:H104">
    <cfRule type="cellIs" dxfId="1" priority="1" stopIfTrue="1" operator="equal">
      <formula>"Complete"</formula>
    </cfRule>
    <cfRule type="cellIs" dxfId="0" priority="2" stopIfTrue="1" operator="equal">
      <formula>"Blocked"</formula>
    </cfRule>
  </conditionalFormatting>
  <dataValidations count="3">
    <dataValidation type="list" allowBlank="1" sqref="Q4:Q104" xr:uid="{00000000-0002-0000-0100-000000000000}">
      <formula1>"Y,N"</formula1>
    </dataValidation>
    <dataValidation type="list" allowBlank="1" sqref="F4:F104" xr:uid="{00000000-0002-0000-0100-000001000000}">
      <formula1>"High,Medium,Low"</formula1>
    </dataValidation>
    <dataValidation type="list" allowBlank="1" sqref="H4:H104" xr:uid="{00000000-0002-0000-0100-000002000000}">
      <formula1>"Not Started,In Progress,Blocked,Ready for Review,Merged,Complete"</formula1>
    </dataValidation>
  </dataValidations>
  <hyperlinks>
    <hyperlink ref="E39" r:id="rId1" xr:uid="{00000000-0004-0000-0100-000000000000}"/>
    <hyperlink ref="E52" r:id="rId2" xr:uid="{00000000-0004-0000-0100-000001000000}"/>
    <hyperlink ref="E79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J100"/>
  <sheetViews>
    <sheetView showGridLines="0" tabSelected="1" workbookViewId="0">
      <selection activeCell="G6" sqref="G6"/>
    </sheetView>
  </sheetViews>
  <sheetFormatPr defaultColWidth="12.5703125" defaultRowHeight="15.75" customHeight="1" x14ac:dyDescent="0.2"/>
  <cols>
    <col min="2" max="2" width="12.5703125" customWidth="1"/>
    <col min="3" max="3" width="18.85546875" customWidth="1"/>
    <col min="4" max="7" width="15.140625" customWidth="1"/>
    <col min="8" max="10" width="25.140625" customWidth="1"/>
  </cols>
  <sheetData>
    <row r="1" spans="2:10" ht="23.25" x14ac:dyDescent="0.35">
      <c r="B1" s="1" t="s">
        <v>0</v>
      </c>
    </row>
    <row r="3" spans="2:10" ht="12.75" x14ac:dyDescent="0.2">
      <c r="B3" s="4" t="s">
        <v>3</v>
      </c>
      <c r="C3" s="4" t="s">
        <v>15</v>
      </c>
      <c r="D3" s="4" t="s">
        <v>16</v>
      </c>
    </row>
    <row r="4" spans="2:10" ht="37.5" customHeight="1" x14ac:dyDescent="0.2">
      <c r="B4" s="9">
        <f>COUNTIFS('Log Tracker'!H4:H104, "&lt;&gt;Complete", 'Log Tracker'!H4:H104, "&lt;&gt;Merged", 'Log Tracker'!H4:H104, "&lt;&gt;")</f>
        <v>18</v>
      </c>
      <c r="C4" s="9">
        <f>COUNTIF('Log Tracker'!H4:H104, "In Progress")</f>
        <v>4</v>
      </c>
      <c r="D4" s="9">
        <f>COUNTIF('Log Tracker'!H4:H104, "Ready for Review")</f>
        <v>4</v>
      </c>
    </row>
    <row r="5" spans="2:10" ht="12.75" x14ac:dyDescent="0.2">
      <c r="B5" s="4" t="s">
        <v>51</v>
      </c>
      <c r="C5" s="4" t="s">
        <v>52</v>
      </c>
      <c r="D5" s="4" t="s">
        <v>54</v>
      </c>
    </row>
    <row r="6" spans="2:10" ht="37.5" customHeight="1" x14ac:dyDescent="0.2">
      <c r="B6" s="9">
        <f>COUNTIF('Log Tracker'!H4:H104, "Merged")</f>
        <v>1</v>
      </c>
      <c r="C6" s="9">
        <f>COUNTIF('Log Tracker'!H4:H104, "Complete")</f>
        <v>69</v>
      </c>
      <c r="D6" s="15">
        <f>IF(COUNTA('Log Tracker'!H4:H104)=0, 0, (COUNTIF('Log Tracker'!H4:H104, "Complete") + COUNTIF('Log Tracker'!H4:H104, "Merged")) / COUNTA('Log Tracker'!H4:H104))</f>
        <v>0.79545454545454541</v>
      </c>
    </row>
    <row r="9" spans="2:10" ht="25.5" x14ac:dyDescent="0.2">
      <c r="B9" s="5" t="s">
        <v>110</v>
      </c>
      <c r="C9" s="5" t="s">
        <v>116</v>
      </c>
      <c r="D9" s="5" t="s">
        <v>117</v>
      </c>
      <c r="E9" s="5" t="s">
        <v>52</v>
      </c>
      <c r="F9" s="5" t="s">
        <v>51</v>
      </c>
      <c r="G9" s="5" t="s">
        <v>121</v>
      </c>
      <c r="H9" s="5" t="s">
        <v>122</v>
      </c>
      <c r="I9" s="5" t="s">
        <v>124</v>
      </c>
      <c r="J9" s="5" t="s">
        <v>125</v>
      </c>
    </row>
    <row r="10" spans="2:10" ht="12.75" x14ac:dyDescent="0.2">
      <c r="B10" s="12">
        <f ca="1">IFERROR(__xludf.DUMMYFUNCTION("LET(tasks, 'Log Tracker'!C4:C1000, assignees, 'Log Tracker'!G4:G1000, status, 'Log Tracker'!H4:H1000, compDates, 'Log Tracker'!L4:L1000, blockers, 'Log Tracker'!O4:O1000, carry, 'Log Tracker'!Q4:Q1000, uniqueWeeks, SORT(UNIQUE(FILTER(compDates, compDates&lt;"&amp;"&gt;""""))), result, REDUCE({"""", """", """", """", """", """", """", """", """"}, uniqueWeeks, LAMBDA(acc, wk, LET(weekTasks, FILTER(tasks, compDates=wk), weekAssignees, FILTER(assignees, compDates=wk), weekStatus, FILTER(status, compDates=wk), weekBlocker"&amp;"s, FILTER(blockers, compDates=wk), weekCarry, FILTER(carry, compDates=wk), assignedCount, COUNTA(weekTasks), completedCount, COUNTIF(weekStatus, ""Complete""), mergedCount, COUNTIF(weekStatus, ""Merged""), carryCount, COUNTIF(weekCarry, ""Y""), teamMember"&amp;"s, TEXTJOIN("", "", TRUE, UNIQUE(weekAssignees)), accomplishments, TEXTJOIN("" | "", TRUE, weekTasks), blockersText, IFERROR(TEXTJOIN("" | "", TRUE, FILTER(weekBlockers, weekBlockers&lt;&gt;""N/A"", weekBlockers&lt;&gt;"""")), """"), VSTACK(acc, {wk, teamMembers, ass"&amp;"ignedCount, completedCount, mergedCount, carryCount, accomplishments, blockersText, """"})))) , CHOOSEROWS(result, SEQUENCE(ROWS(result)-1, 1, 2)))"),46174)</f>
        <v>46174</v>
      </c>
      <c r="C10" s="10" t="str">
        <f ca="1">IFERROR(__xludf.DUMMYFUNCTION("""COMPUTED_VALUE"""),"Joey")</f>
        <v>Joey</v>
      </c>
      <c r="D10" s="10">
        <f ca="1">IFERROR(__xludf.DUMMYFUNCTION("""COMPUTED_VALUE"""),1)</f>
        <v>1</v>
      </c>
      <c r="E10" s="10">
        <f ca="1">IFERROR(__xludf.DUMMYFUNCTION("""COMPUTED_VALUE"""),1)</f>
        <v>1</v>
      </c>
      <c r="F10" s="10">
        <f ca="1">IFERROR(__xludf.DUMMYFUNCTION("""COMPUTED_VALUE"""),0)</f>
        <v>0</v>
      </c>
      <c r="G10" s="10">
        <f ca="1">IFERROR(__xludf.DUMMYFUNCTION("""COMPUTED_VALUE"""),1)</f>
        <v>1</v>
      </c>
      <c r="H10" s="10" t="str">
        <f ca="1">IFERROR(__xludf.DUMMYFUNCTION("""COMPUTED_VALUE"""),"Dev Log &amp; Tracker")</f>
        <v>Dev Log &amp; Tracker</v>
      </c>
      <c r="I10" s="10" t="str">
        <f ca="1">IFERROR(__xludf.DUMMYFUNCTION("""COMPUTED_VALUE"""),"")</f>
        <v/>
      </c>
      <c r="J10" s="10" t="str">
        <f ca="1">IFERROR(__xludf.DUMMYFUNCTION("""COMPUTED_VALUE"""),"")</f>
        <v/>
      </c>
    </row>
    <row r="11" spans="2:10" ht="38.25" x14ac:dyDescent="0.2">
      <c r="B11" s="12">
        <f ca="1">IFERROR(__xludf.DUMMYFUNCTION("""COMPUTED_VALUE"""),46181)</f>
        <v>46181</v>
      </c>
      <c r="C11" s="10" t="str">
        <f ca="1">IFERROR(__xludf.DUMMYFUNCTION("""COMPUTED_VALUE"""),"Rafay")</f>
        <v>Rafay</v>
      </c>
      <c r="D11" s="10">
        <f ca="1">IFERROR(__xludf.DUMMYFUNCTION("""COMPUTED_VALUE"""),4)</f>
        <v>4</v>
      </c>
      <c r="E11" s="10">
        <f ca="1">IFERROR(__xludf.DUMMYFUNCTION("""COMPUTED_VALUE"""),4)</f>
        <v>4</v>
      </c>
      <c r="F11" s="10">
        <f ca="1">IFERROR(__xludf.DUMMYFUNCTION("""COMPUTED_VALUE"""),0)</f>
        <v>0</v>
      </c>
      <c r="G11" s="10">
        <f ca="1">IFERROR(__xludf.DUMMYFUNCTION("""COMPUTED_VALUE"""),0)</f>
        <v>0</v>
      </c>
      <c r="H11" s="10" t="str">
        <f ca="1">IFERROR(__xludf.DUMMYFUNCTION("""COMPUTED_VALUE"""),"Double footer | Update Buttons | Artist Logos | Nav Bar update")</f>
        <v>Double footer | Update Buttons | Artist Logos | Nav Bar update</v>
      </c>
      <c r="I11" s="10" t="str">
        <f ca="1">IFERROR(__xludf.DUMMYFUNCTION("""COMPUTED_VALUE"""),"")</f>
        <v/>
      </c>
      <c r="J11" s="10" t="str">
        <f ca="1">IFERROR(__xludf.DUMMYFUNCTION("""COMPUTED_VALUE"""),"")</f>
        <v/>
      </c>
    </row>
    <row r="12" spans="2:10" ht="25.5" x14ac:dyDescent="0.2">
      <c r="B12" s="12">
        <f ca="1">IFERROR(__xludf.DUMMYFUNCTION("""COMPUTED_VALUE"""),46195)</f>
        <v>46195</v>
      </c>
      <c r="C12" s="10" t="str">
        <f ca="1">IFERROR(__xludf.DUMMYFUNCTION("""COMPUTED_VALUE"""),"Rafay, Pratyank")</f>
        <v>Rafay, Pratyank</v>
      </c>
      <c r="D12" s="10">
        <f ca="1">IFERROR(__xludf.DUMMYFUNCTION("""COMPUTED_VALUE"""),3)</f>
        <v>3</v>
      </c>
      <c r="E12" s="10">
        <f ca="1">IFERROR(__xludf.DUMMYFUNCTION("""COMPUTED_VALUE"""),3)</f>
        <v>3</v>
      </c>
      <c r="F12" s="10">
        <f ca="1">IFERROR(__xludf.DUMMYFUNCTION("""COMPUTED_VALUE"""),0)</f>
        <v>0</v>
      </c>
      <c r="G12" s="10">
        <f ca="1">IFERROR(__xludf.DUMMYFUNCTION("""COMPUTED_VALUE"""),0)</f>
        <v>0</v>
      </c>
      <c r="H12" s="10" t="str">
        <f ca="1">IFERROR(__xludf.DUMMYFUNCTION("""COMPUTED_VALUE"""),"Page spacing | Clean up Mobile | Mobile page spacing")</f>
        <v>Page spacing | Clean up Mobile | Mobile page spacing</v>
      </c>
      <c r="I12" s="10" t="str">
        <f ca="1">IFERROR(__xludf.DUMMYFUNCTION("""COMPUTED_VALUE"""),"")</f>
        <v/>
      </c>
      <c r="J12" s="10" t="str">
        <f ca="1">IFERROR(__xludf.DUMMYFUNCTION("""COMPUTED_VALUE"""),"")</f>
        <v/>
      </c>
    </row>
    <row r="13" spans="2:10" ht="12.75" x14ac:dyDescent="0.2">
      <c r="B13" s="12">
        <f ca="1">IFERROR(__xludf.DUMMYFUNCTION("""COMPUTED_VALUE"""),46198)</f>
        <v>46198</v>
      </c>
      <c r="C13" s="10" t="str">
        <f ca="1">IFERROR(__xludf.DUMMYFUNCTION("""COMPUTED_VALUE"""),"Aakash")</f>
        <v>Aakash</v>
      </c>
      <c r="D13" s="10">
        <f ca="1">IFERROR(__xludf.DUMMYFUNCTION("""COMPUTED_VALUE"""),1)</f>
        <v>1</v>
      </c>
      <c r="E13" s="10">
        <f ca="1">IFERROR(__xludf.DUMMYFUNCTION("""COMPUTED_VALUE"""),1)</f>
        <v>1</v>
      </c>
      <c r="F13" s="10">
        <f ca="1">IFERROR(__xludf.DUMMYFUNCTION("""COMPUTED_VALUE"""),0)</f>
        <v>0</v>
      </c>
      <c r="G13" s="10">
        <f ca="1">IFERROR(__xludf.DUMMYFUNCTION("""COMPUTED_VALUE"""),0)</f>
        <v>0</v>
      </c>
      <c r="H13" s="10" t="str">
        <f ca="1">IFERROR(__xludf.DUMMYFUNCTION("""COMPUTED_VALUE"""),"Shift Manual Auth to Firebase")</f>
        <v>Shift Manual Auth to Firebase</v>
      </c>
      <c r="I13" s="10" t="str">
        <f ca="1">IFERROR(__xludf.DUMMYFUNCTION("""COMPUTED_VALUE"""),"")</f>
        <v/>
      </c>
      <c r="J13" s="10" t="str">
        <f ca="1">IFERROR(__xludf.DUMMYFUNCTION("""COMPUTED_VALUE"""),"")</f>
        <v/>
      </c>
    </row>
    <row r="14" spans="2:10" ht="153" x14ac:dyDescent="0.2">
      <c r="B14" s="12">
        <f ca="1">IFERROR(__xludf.DUMMYFUNCTION("""COMPUTED_VALUE"""),46202)</f>
        <v>46202</v>
      </c>
      <c r="C14" s="10" t="str">
        <f ca="1">IFERROR(__xludf.DUMMYFUNCTION("""COMPUTED_VALUE"""),"Pratyank, Rafay, Aakash")</f>
        <v>Pratyank, Rafay, Aakash</v>
      </c>
      <c r="D14" s="10">
        <f ca="1">IFERROR(__xludf.DUMMYFUNCTION("""COMPUTED_VALUE"""),11)</f>
        <v>11</v>
      </c>
      <c r="E14" s="10">
        <f ca="1">IFERROR(__xludf.DUMMYFUNCTION("""COMPUTED_VALUE"""),11)</f>
        <v>11</v>
      </c>
      <c r="F14" s="10">
        <f ca="1">IFERROR(__xludf.DUMMYFUNCTION("""COMPUTED_VALUE"""),0)</f>
        <v>0</v>
      </c>
      <c r="G14" s="10">
        <f ca="1">IFERROR(__xludf.DUMMYFUNCTION("""COMPUTED_VALUE"""),0)</f>
        <v>0</v>
      </c>
      <c r="H14" s="10" t="str">
        <f ca="1">IFERROR(__xludf.DUMMYFUNCTION("""COMPUTED_VALUE"""),"Update Image | Remove some sections | Discord link  | Guidelines PDF | Update Section | Combine sections | Featured Campaigns style | Featured Campaigns Section | Add Coolify to VPS  | Update platform T&amp;S date | Transfer/create submission terms of service"&amp;" and link to each Opportunity/contest page")</f>
        <v>Update Image | Remove some sections | Discord link  | Guidelines PDF | Update Section | Combine sections | Featured Campaigns style | Featured Campaigns Section | Add Coolify to VPS  | Update platform T&amp;S date | Transfer/create submission terms of service and link to each Opportunity/contest page</v>
      </c>
      <c r="I14" s="10" t="str">
        <f ca="1">IFERROR(__xludf.DUMMYFUNCTION("""COMPUTED_VALUE"""),"")</f>
        <v/>
      </c>
      <c r="J14" s="10" t="str">
        <f ca="1">IFERROR(__xludf.DUMMYFUNCTION("""COMPUTED_VALUE"""),"")</f>
        <v/>
      </c>
    </row>
    <row r="15" spans="2:10" ht="12.75" x14ac:dyDescent="0.2">
      <c r="B15" s="12">
        <f ca="1">IFERROR(__xludf.DUMMYFUNCTION("""COMPUTED_VALUE"""),46203)</f>
        <v>46203</v>
      </c>
      <c r="C15" s="10" t="str">
        <f ca="1">IFERROR(__xludf.DUMMYFUNCTION("""COMPUTED_VALUE"""),"Aakash")</f>
        <v>Aakash</v>
      </c>
      <c r="D15" s="10">
        <f ca="1">IFERROR(__xludf.DUMMYFUNCTION("""COMPUTED_VALUE"""),1)</f>
        <v>1</v>
      </c>
      <c r="E15" s="10">
        <f ca="1">IFERROR(__xludf.DUMMYFUNCTION("""COMPUTED_VALUE"""),1)</f>
        <v>1</v>
      </c>
      <c r="F15" s="10">
        <f ca="1">IFERROR(__xludf.DUMMYFUNCTION("""COMPUTED_VALUE"""),0)</f>
        <v>0</v>
      </c>
      <c r="G15" s="10">
        <f ca="1">IFERROR(__xludf.DUMMYFUNCTION("""COMPUTED_VALUE"""),0)</f>
        <v>0</v>
      </c>
      <c r="H15" s="10" t="str">
        <f ca="1">IFERROR(__xludf.DUMMYFUNCTION("""COMPUTED_VALUE"""),"Switch domain to hostinger")</f>
        <v>Switch domain to hostinger</v>
      </c>
      <c r="I15" s="10" t="str">
        <f ca="1">IFERROR(__xludf.DUMMYFUNCTION("""COMPUTED_VALUE"""),"")</f>
        <v/>
      </c>
      <c r="J15" s="10" t="str">
        <f ca="1">IFERROR(__xludf.DUMMYFUNCTION("""COMPUTED_VALUE"""),"")</f>
        <v/>
      </c>
    </row>
    <row r="16" spans="2:10" ht="102" x14ac:dyDescent="0.2">
      <c r="B16" s="12">
        <f ca="1">IFERROR(__xludf.DUMMYFUNCTION("""COMPUTED_VALUE"""),46216)</f>
        <v>46216</v>
      </c>
      <c r="C16" s="10" t="str">
        <f ca="1">IFERROR(__xludf.DUMMYFUNCTION("""COMPUTED_VALUE"""),"Dhruv -&gt; Jyotishmoy, Dhruv, Jyotishmoy, Pratyank, Jyotishmoy, Jyotishmoy, Aakash")</f>
        <v>Dhruv -&gt; Jyotishmoy, Dhruv, Jyotishmoy, Pratyank, Jyotishmoy, Jyotishmoy, Aakash</v>
      </c>
      <c r="D16" s="10">
        <f ca="1">IFERROR(__xludf.DUMMYFUNCTION("""COMPUTED_VALUE"""),7)</f>
        <v>7</v>
      </c>
      <c r="E16" s="10">
        <f ca="1">IFERROR(__xludf.DUMMYFUNCTION("""COMPUTED_VALUE"""),7)</f>
        <v>7</v>
      </c>
      <c r="F16" s="10">
        <f ca="1">IFERROR(__xludf.DUMMYFUNCTION("""COMPUTED_VALUE"""),0)</f>
        <v>0</v>
      </c>
      <c r="G16" s="10">
        <f ca="1">IFERROR(__xludf.DUMMYFUNCTION("""COMPUTED_VALUE"""),0)</f>
        <v>0</v>
      </c>
      <c r="H16" s="10" t="str">
        <f ca="1">IFERROR(__xludf.DUMMYFUNCTION("""COMPUTED_VALUE"""),"Create New Accounts (Brand Owners) | Create New Accounts (Fan Artists) | Signup Workflow | Authentication for librarians page | Fix signup | Fix Lib contest entry | Get Submission flow ready")</f>
        <v>Create New Accounts (Brand Owners) | Create New Accounts (Fan Artists) | Signup Workflow | Authentication for librarians page | Fix signup | Fix Lib contest entry | Get Submission flow ready</v>
      </c>
      <c r="I16" s="10" t="str">
        <f ca="1">IFERROR(__xludf.DUMMYFUNCTION("""COMPUTED_VALUE"""),"")</f>
        <v/>
      </c>
      <c r="J16" s="10" t="str">
        <f ca="1">IFERROR(__xludf.DUMMYFUNCTION("""COMPUTED_VALUE"""),"")</f>
        <v/>
      </c>
    </row>
    <row r="17" spans="2:10" ht="12.75" x14ac:dyDescent="0.2">
      <c r="B17" s="12">
        <f ca="1">IFERROR(__xludf.DUMMYFUNCTION("""COMPUTED_VALUE"""),46219)</f>
        <v>46219</v>
      </c>
      <c r="C17" s="10" t="str">
        <f ca="1">IFERROR(__xludf.DUMMYFUNCTION("""COMPUTED_VALUE"""),"Rafay")</f>
        <v>Rafay</v>
      </c>
      <c r="D17" s="10">
        <f ca="1">IFERROR(__xludf.DUMMYFUNCTION("""COMPUTED_VALUE"""),1)</f>
        <v>1</v>
      </c>
      <c r="E17" s="10">
        <f ca="1">IFERROR(__xludf.DUMMYFUNCTION("""COMPUTED_VALUE"""),1)</f>
        <v>1</v>
      </c>
      <c r="F17" s="10">
        <f ca="1">IFERROR(__xludf.DUMMYFUNCTION("""COMPUTED_VALUE"""),0)</f>
        <v>0</v>
      </c>
      <c r="G17" s="10">
        <f ca="1">IFERROR(__xludf.DUMMYFUNCTION("""COMPUTED_VALUE"""),0)</f>
        <v>0</v>
      </c>
      <c r="H17" s="10" t="str">
        <f ca="1">IFERROR(__xludf.DUMMYFUNCTION("""COMPUTED_VALUE"""),"Fix refresh glitch ")</f>
        <v xml:space="preserve">Fix refresh glitch </v>
      </c>
      <c r="I17" s="10" t="str">
        <f ca="1">IFERROR(__xludf.DUMMYFUNCTION("""COMPUTED_VALUE"""),"")</f>
        <v/>
      </c>
      <c r="J17" s="10" t="str">
        <f ca="1">IFERROR(__xludf.DUMMYFUNCTION("""COMPUTED_VALUE"""),"")</f>
        <v/>
      </c>
    </row>
    <row r="18" spans="2:10" ht="89.25" x14ac:dyDescent="0.2">
      <c r="B18" s="12">
        <f ca="1">IFERROR(__xludf.DUMMYFUNCTION("""COMPUTED_VALUE"""),46223)</f>
        <v>46223</v>
      </c>
      <c r="C18" s="10" t="str">
        <f ca="1">IFERROR(__xludf.DUMMYFUNCTION("""COMPUTED_VALUE"""),"Rafay, Pratyank, Praytank")</f>
        <v>Rafay, Pratyank, Praytank</v>
      </c>
      <c r="D18" s="10">
        <f ca="1">IFERROR(__xludf.DUMMYFUNCTION("""COMPUTED_VALUE"""),5)</f>
        <v>5</v>
      </c>
      <c r="E18" s="10">
        <f ca="1">IFERROR(__xludf.DUMMYFUNCTION("""COMPUTED_VALUE"""),5)</f>
        <v>5</v>
      </c>
      <c r="F18" s="10">
        <f ca="1">IFERROR(__xludf.DUMMYFUNCTION("""COMPUTED_VALUE"""),0)</f>
        <v>0</v>
      </c>
      <c r="G18" s="10">
        <f ca="1">IFERROR(__xludf.DUMMYFUNCTION("""COMPUTED_VALUE"""),0)</f>
        <v>0</v>
      </c>
      <c r="H18" s="10" t="str">
        <f ca="1">IFERROR(__xludf.DUMMYFUNCTION("""COMPUTED_VALUE"""),"Remove sections in Profile | User name visibility fix | Remove for Creators page on mobile | Remove hardcoded parts of the Dashboard | Add description and note to contest entry")</f>
        <v>Remove sections in Profile | User name visibility fix | Remove for Creators page on mobile | Remove hardcoded parts of the Dashboard | Add description and note to contest entry</v>
      </c>
      <c r="I18" s="10" t="str">
        <f ca="1">IFERROR(__xludf.DUMMYFUNCTION("""COMPUTED_VALUE"""),"")</f>
        <v/>
      </c>
      <c r="J18" s="10" t="str">
        <f ca="1">IFERROR(__xludf.DUMMYFUNCTION("""COMPUTED_VALUE"""),"")</f>
        <v/>
      </c>
    </row>
    <row r="19" spans="2:10" ht="63.75" x14ac:dyDescent="0.2">
      <c r="B19" s="12">
        <f ca="1">IFERROR(__xludf.DUMMYFUNCTION("""COMPUTED_VALUE"""),46233)</f>
        <v>46233</v>
      </c>
      <c r="C19" s="10" t="str">
        <f ca="1">IFERROR(__xludf.DUMMYFUNCTION("""COMPUTED_VALUE"""),"Rafay -&gt; Pratyank, Pratyank")</f>
        <v>Rafay -&gt; Pratyank, Pratyank</v>
      </c>
      <c r="D19" s="10">
        <f ca="1">IFERROR(__xludf.DUMMYFUNCTION("""COMPUTED_VALUE"""),4)</f>
        <v>4</v>
      </c>
      <c r="E19" s="10">
        <f ca="1">IFERROR(__xludf.DUMMYFUNCTION("""COMPUTED_VALUE"""),4)</f>
        <v>4</v>
      </c>
      <c r="F19" s="10">
        <f ca="1">IFERROR(__xludf.DUMMYFUNCTION("""COMPUTED_VALUE"""),0)</f>
        <v>0</v>
      </c>
      <c r="G19" s="10">
        <f ca="1">IFERROR(__xludf.DUMMYFUNCTION("""COMPUTED_VALUE"""),0)</f>
        <v>0</v>
      </c>
      <c r="H19" s="10" t="str">
        <f ca="1">IFERROR(__xludf.DUMMYFUNCTION("""COMPUTED_VALUE"""),"Add how did you hear about us | Replace hero image at Signup | Fix submission tags | Complete migration away from AWS")</f>
        <v>Add how did you hear about us | Replace hero image at Signup | Fix submission tags | Complete migration away from AWS</v>
      </c>
      <c r="I19" s="10" t="str">
        <f ca="1">IFERROR(__xludf.DUMMYFUNCTION("""COMPUTED_VALUE"""),"")</f>
        <v/>
      </c>
      <c r="J19" s="10" t="str">
        <f ca="1">IFERROR(__xludf.DUMMYFUNCTION("""COMPUTED_VALUE"""),"")</f>
        <v/>
      </c>
    </row>
    <row r="20" spans="2:10" ht="12.75" x14ac:dyDescent="0.2">
      <c r="B20" s="12">
        <f ca="1">IFERROR(__xludf.DUMMYFUNCTION("""COMPUTED_VALUE"""),46236)</f>
        <v>46236</v>
      </c>
      <c r="C20" s="10" t="str">
        <f ca="1">IFERROR(__xludf.DUMMYFUNCTION("""COMPUTED_VALUE"""),"Pratyank")</f>
        <v>Pratyank</v>
      </c>
      <c r="D20" s="10">
        <f ca="1">IFERROR(__xludf.DUMMYFUNCTION("""COMPUTED_VALUE"""),1)</f>
        <v>1</v>
      </c>
      <c r="E20" s="10">
        <f ca="1">IFERROR(__xludf.DUMMYFUNCTION("""COMPUTED_VALUE"""),1)</f>
        <v>1</v>
      </c>
      <c r="F20" s="10">
        <f ca="1">IFERROR(__xludf.DUMMYFUNCTION("""COMPUTED_VALUE"""),0)</f>
        <v>0</v>
      </c>
      <c r="G20" s="10">
        <f ca="1">IFERROR(__xludf.DUMMYFUNCTION("""COMPUTED_VALUE"""),0)</f>
        <v>0</v>
      </c>
      <c r="H20" s="10" t="str">
        <f ca="1">IFERROR(__xludf.DUMMYFUNCTION("""COMPUTED_VALUE"""),"Link T&amp;S to Lib contest")</f>
        <v>Link T&amp;S to Lib contest</v>
      </c>
      <c r="I20" s="10" t="str">
        <f ca="1">IFERROR(__xludf.DUMMYFUNCTION("""COMPUTED_VALUE"""),"")</f>
        <v/>
      </c>
      <c r="J20" s="10" t="str">
        <f ca="1">IFERROR(__xludf.DUMMYFUNCTION("""COMPUTED_VALUE"""),"")</f>
        <v/>
      </c>
    </row>
    <row r="21" spans="2:10" ht="114.75" x14ac:dyDescent="0.2">
      <c r="B21" s="12">
        <f ca="1">IFERROR(__xludf.DUMMYFUNCTION("""COMPUTED_VALUE"""),46244)</f>
        <v>46244</v>
      </c>
      <c r="C21" s="10" t="str">
        <f ca="1">IFERROR(__xludf.DUMMYFUNCTION("""COMPUTED_VALUE"""),"Pratyank, Praytank, Rafay")</f>
        <v>Pratyank, Praytank, Rafay</v>
      </c>
      <c r="D21" s="10">
        <f ca="1">IFERROR(__xludf.DUMMYFUNCTION("""COMPUTED_VALUE"""),6)</f>
        <v>6</v>
      </c>
      <c r="E21" s="10">
        <f ca="1">IFERROR(__xludf.DUMMYFUNCTION("""COMPUTED_VALUE"""),6)</f>
        <v>6</v>
      </c>
      <c r="F21" s="10">
        <f ca="1">IFERROR(__xludf.DUMMYFUNCTION("""COMPUTED_VALUE"""),0)</f>
        <v>0</v>
      </c>
      <c r="G21" s="10">
        <f ca="1">IFERROR(__xludf.DUMMYFUNCTION("""COMPUTED_VALUE"""),0)</f>
        <v>0</v>
      </c>
      <c r="H21" s="10" t="str">
        <f ca="1">IFERROR(__xludf.DUMMYFUNCTION("""COMPUTED_VALUE"""),"Remove Welcome Art | Fix submission images in dashboard | Individual submission pages  | Dashboard - View All Submissions | Submission Detail View - Full Image + Form Metadata | Fix dashboard images")</f>
        <v>Remove Welcome Art | Fix submission images in dashboard | Individual submission pages  | Dashboard - View All Submissions | Submission Detail View - Full Image + Form Metadata | Fix dashboard images</v>
      </c>
      <c r="I21" s="10" t="str">
        <f ca="1">IFERROR(__xludf.DUMMYFUNCTION("""COMPUTED_VALUE"""),"")</f>
        <v/>
      </c>
      <c r="J21" s="10" t="str">
        <f ca="1">IFERROR(__xludf.DUMMYFUNCTION("""COMPUTED_VALUE"""),"")</f>
        <v/>
      </c>
    </row>
    <row r="22" spans="2:10" ht="51" x14ac:dyDescent="0.2">
      <c r="B22" s="12">
        <f ca="1">IFERROR(__xludf.DUMMYFUNCTION("""COMPUTED_VALUE"""),46258)</f>
        <v>46258</v>
      </c>
      <c r="C22" s="10" t="str">
        <f ca="1">IFERROR(__xludf.DUMMYFUNCTION("""COMPUTED_VALUE"""),"Rafay, Pratyank")</f>
        <v>Rafay, Pratyank</v>
      </c>
      <c r="D22" s="10">
        <f ca="1">IFERROR(__xludf.DUMMYFUNCTION("""COMPUTED_VALUE"""),4)</f>
        <v>4</v>
      </c>
      <c r="E22" s="10">
        <f ca="1">IFERROR(__xludf.DUMMYFUNCTION("""COMPUTED_VALUE"""),4)</f>
        <v>4</v>
      </c>
      <c r="F22" s="10">
        <f ca="1">IFERROR(__xludf.DUMMYFUNCTION("""COMPUTED_VALUE"""),0)</f>
        <v>0</v>
      </c>
      <c r="G22" s="10">
        <f ca="1">IFERROR(__xludf.DUMMYFUNCTION("""COMPUTED_VALUE"""),0)</f>
        <v>0</v>
      </c>
      <c r="H22" s="10" t="str">
        <f ca="1">IFERROR(__xludf.DUMMYFUNCTION("""COMPUTED_VALUE"""),"Prepare judging system | Judging backend endpoints | Judging next phase | Copy judging password")</f>
        <v>Prepare judging system | Judging backend endpoints | Judging next phase | Copy judging password</v>
      </c>
      <c r="I22" s="10" t="str">
        <f ca="1">IFERROR(__xludf.DUMMYFUNCTION("""COMPUTED_VALUE"""),"")</f>
        <v/>
      </c>
      <c r="J22" s="10" t="str">
        <f ca="1">IFERROR(__xludf.DUMMYFUNCTION("""COMPUTED_VALUE"""),"")</f>
        <v/>
      </c>
    </row>
    <row r="23" spans="2:10" ht="12.75" x14ac:dyDescent="0.2">
      <c r="B23" s="12">
        <f ca="1">IFERROR(__xludf.DUMMYFUNCTION("""COMPUTED_VALUE"""),46261)</f>
        <v>46261</v>
      </c>
      <c r="C23" s="10" t="str">
        <f ca="1">IFERROR(__xludf.DUMMYFUNCTION("""COMPUTED_VALUE"""),"Dhruv")</f>
        <v>Dhruv</v>
      </c>
      <c r="D23" s="10">
        <f ca="1">IFERROR(__xludf.DUMMYFUNCTION("""COMPUTED_VALUE"""),1)</f>
        <v>1</v>
      </c>
      <c r="E23" s="10">
        <f ca="1">IFERROR(__xludf.DUMMYFUNCTION("""COMPUTED_VALUE"""),0)</f>
        <v>0</v>
      </c>
      <c r="F23" s="10">
        <f ca="1">IFERROR(__xludf.DUMMYFUNCTION("""COMPUTED_VALUE"""),0)</f>
        <v>0</v>
      </c>
      <c r="G23" s="10">
        <f ca="1">IFERROR(__xludf.DUMMYFUNCTION("""COMPUTED_VALUE"""),0)</f>
        <v>0</v>
      </c>
      <c r="H23" s="10" t="str">
        <f ca="1">IFERROR(__xludf.DUMMYFUNCTION("""COMPUTED_VALUE"""),"Licensing workflow doc")</f>
        <v>Licensing workflow doc</v>
      </c>
      <c r="I23" s="10" t="str">
        <f ca="1">IFERROR(__xludf.DUMMYFUNCTION("""COMPUTED_VALUE"""),"")</f>
        <v/>
      </c>
      <c r="J23" s="10" t="str">
        <f ca="1">IFERROR(__xludf.DUMMYFUNCTION("""COMPUTED_VALUE"""),"")</f>
        <v/>
      </c>
    </row>
    <row r="24" spans="2:10" ht="12.75" x14ac:dyDescent="0.2">
      <c r="B24" s="12">
        <f ca="1">IFERROR(__xludf.DUMMYFUNCTION("""COMPUTED_VALUE"""),46265)</f>
        <v>46265</v>
      </c>
      <c r="C24" s="10" t="str">
        <f ca="1">IFERROR(__xludf.DUMMYFUNCTION("""COMPUTED_VALUE"""),"Rafay")</f>
        <v>Rafay</v>
      </c>
      <c r="D24" s="10">
        <f ca="1">IFERROR(__xludf.DUMMYFUNCTION("""COMPUTED_VALUE"""),1)</f>
        <v>1</v>
      </c>
      <c r="E24" s="10">
        <f ca="1">IFERROR(__xludf.DUMMYFUNCTION("""COMPUTED_VALUE"""),1)</f>
        <v>1</v>
      </c>
      <c r="F24" s="10">
        <f ca="1">IFERROR(__xludf.DUMMYFUNCTION("""COMPUTED_VALUE"""),0)</f>
        <v>0</v>
      </c>
      <c r="G24" s="10">
        <f ca="1">IFERROR(__xludf.DUMMYFUNCTION("""COMPUTED_VALUE"""),0)</f>
        <v>0</v>
      </c>
      <c r="H24" s="10" t="str">
        <f ca="1">IFERROR(__xludf.DUMMYFUNCTION("""COMPUTED_VALUE"""),"PDF image preview")</f>
        <v>PDF image preview</v>
      </c>
      <c r="I24" s="10" t="str">
        <f ca="1">IFERROR(__xludf.DUMMYFUNCTION("""COMPUTED_VALUE"""),"")</f>
        <v/>
      </c>
      <c r="J24" s="10" t="str">
        <f ca="1">IFERROR(__xludf.DUMMYFUNCTION("""COMPUTED_VALUE"""),"")</f>
        <v/>
      </c>
    </row>
    <row r="25" spans="2:10" ht="12.75" x14ac:dyDescent="0.2">
      <c r="B25" s="12"/>
      <c r="C25" s="10"/>
      <c r="D25" s="10"/>
      <c r="E25" s="10"/>
      <c r="F25" s="10"/>
      <c r="G25" s="10"/>
      <c r="H25" s="10"/>
      <c r="I25" s="10"/>
      <c r="J25" s="10"/>
    </row>
    <row r="26" spans="2:10" ht="12.75" x14ac:dyDescent="0.2">
      <c r="B26" s="12"/>
      <c r="C26" s="10"/>
      <c r="D26" s="10"/>
      <c r="E26" s="10"/>
      <c r="F26" s="10"/>
      <c r="G26" s="10"/>
      <c r="H26" s="10"/>
      <c r="I26" s="10"/>
      <c r="J26" s="10"/>
    </row>
    <row r="27" spans="2:10" ht="12.75" x14ac:dyDescent="0.2">
      <c r="B27" s="12"/>
      <c r="C27" s="10"/>
      <c r="D27" s="10"/>
      <c r="E27" s="10"/>
      <c r="F27" s="10"/>
      <c r="G27" s="10"/>
      <c r="H27" s="10"/>
      <c r="I27" s="10"/>
      <c r="J27" s="10"/>
    </row>
    <row r="28" spans="2:10" ht="12.75" x14ac:dyDescent="0.2">
      <c r="B28" s="12"/>
      <c r="C28" s="10"/>
      <c r="D28" s="10"/>
      <c r="E28" s="10"/>
      <c r="F28" s="10"/>
      <c r="G28" s="10"/>
      <c r="H28" s="10"/>
      <c r="I28" s="10"/>
      <c r="J28" s="10"/>
    </row>
    <row r="29" spans="2:10" ht="12.75" x14ac:dyDescent="0.2">
      <c r="B29" s="12"/>
      <c r="C29" s="10"/>
      <c r="D29" s="10"/>
      <c r="E29" s="10"/>
      <c r="F29" s="10"/>
      <c r="G29" s="10"/>
      <c r="H29" s="10"/>
      <c r="I29" s="10"/>
      <c r="J29" s="10"/>
    </row>
    <row r="30" spans="2:10" ht="12.75" x14ac:dyDescent="0.2">
      <c r="B30" s="12"/>
      <c r="C30" s="10"/>
      <c r="D30" s="10"/>
      <c r="E30" s="10"/>
      <c r="F30" s="10"/>
      <c r="G30" s="10"/>
      <c r="H30" s="10"/>
      <c r="I30" s="10"/>
      <c r="J30" s="10"/>
    </row>
    <row r="31" spans="2:10" ht="12.75" x14ac:dyDescent="0.2">
      <c r="B31" s="20"/>
      <c r="C31" s="22"/>
      <c r="D31" s="22"/>
      <c r="E31" s="22"/>
      <c r="F31" s="22"/>
      <c r="G31" s="22"/>
      <c r="H31" s="22"/>
      <c r="I31" s="22"/>
      <c r="J31" s="22"/>
    </row>
    <row r="32" spans="2:10" ht="12.75" x14ac:dyDescent="0.2">
      <c r="B32" s="20"/>
      <c r="C32" s="22"/>
      <c r="D32" s="22"/>
      <c r="E32" s="22"/>
      <c r="F32" s="22"/>
      <c r="G32" s="22"/>
      <c r="H32" s="22"/>
      <c r="I32" s="22"/>
      <c r="J32" s="22"/>
    </row>
    <row r="33" spans="2:10" ht="12.75" x14ac:dyDescent="0.2">
      <c r="B33" s="20"/>
      <c r="C33" s="22"/>
      <c r="D33" s="22"/>
      <c r="E33" s="22"/>
      <c r="F33" s="22"/>
      <c r="G33" s="22"/>
      <c r="H33" s="22"/>
      <c r="I33" s="22"/>
      <c r="J33" s="22"/>
    </row>
    <row r="34" spans="2:10" ht="12.75" x14ac:dyDescent="0.2">
      <c r="B34" s="20"/>
      <c r="C34" s="22"/>
      <c r="D34" s="22"/>
      <c r="E34" s="22"/>
      <c r="F34" s="22"/>
      <c r="G34" s="22"/>
      <c r="H34" s="22"/>
      <c r="I34" s="22"/>
      <c r="J34" s="22"/>
    </row>
    <row r="35" spans="2:10" ht="12.75" x14ac:dyDescent="0.2">
      <c r="B35" s="20"/>
      <c r="C35" s="22"/>
      <c r="D35" s="22"/>
      <c r="E35" s="22"/>
      <c r="F35" s="22"/>
      <c r="G35" s="22"/>
      <c r="H35" s="22"/>
      <c r="I35" s="22"/>
      <c r="J35" s="22"/>
    </row>
    <row r="36" spans="2:10" ht="12.75" x14ac:dyDescent="0.2">
      <c r="B36" s="20"/>
      <c r="C36" s="22"/>
      <c r="D36" s="22"/>
      <c r="E36" s="22"/>
      <c r="F36" s="22"/>
      <c r="G36" s="22"/>
      <c r="H36" s="22"/>
      <c r="I36" s="22"/>
      <c r="J36" s="22"/>
    </row>
    <row r="37" spans="2:10" ht="12.75" x14ac:dyDescent="0.2">
      <c r="B37" s="20"/>
      <c r="C37" s="22"/>
      <c r="D37" s="22"/>
      <c r="E37" s="22"/>
      <c r="F37" s="22"/>
      <c r="G37" s="22"/>
      <c r="H37" s="22"/>
      <c r="I37" s="22"/>
      <c r="J37" s="22"/>
    </row>
    <row r="38" spans="2:10" ht="12.75" x14ac:dyDescent="0.2">
      <c r="B38" s="20"/>
      <c r="C38" s="22"/>
      <c r="D38" s="22"/>
      <c r="E38" s="22"/>
      <c r="F38" s="22"/>
      <c r="G38" s="22"/>
      <c r="H38" s="22"/>
      <c r="I38" s="22"/>
      <c r="J38" s="22"/>
    </row>
    <row r="39" spans="2:10" ht="12.75" x14ac:dyDescent="0.2">
      <c r="B39" s="20"/>
      <c r="C39" s="22"/>
      <c r="D39" s="22"/>
      <c r="E39" s="22"/>
      <c r="F39" s="22"/>
      <c r="G39" s="22"/>
      <c r="H39" s="22"/>
      <c r="I39" s="22"/>
      <c r="J39" s="22"/>
    </row>
    <row r="40" spans="2:10" ht="12.75" x14ac:dyDescent="0.2">
      <c r="B40" s="20"/>
      <c r="C40" s="22"/>
      <c r="D40" s="22"/>
      <c r="E40" s="22"/>
      <c r="F40" s="22"/>
      <c r="G40" s="22"/>
      <c r="H40" s="22"/>
      <c r="I40" s="22"/>
      <c r="J40" s="22"/>
    </row>
    <row r="41" spans="2:10" ht="12.75" x14ac:dyDescent="0.2">
      <c r="B41" s="20"/>
      <c r="C41" s="22"/>
      <c r="D41" s="22"/>
      <c r="E41" s="22"/>
      <c r="F41" s="22"/>
      <c r="G41" s="22"/>
      <c r="H41" s="22"/>
      <c r="I41" s="22"/>
      <c r="J41" s="22"/>
    </row>
    <row r="42" spans="2:10" ht="12.75" x14ac:dyDescent="0.2">
      <c r="B42" s="20"/>
      <c r="C42" s="22"/>
      <c r="D42" s="22"/>
      <c r="E42" s="22"/>
      <c r="F42" s="22"/>
      <c r="G42" s="22"/>
      <c r="H42" s="22"/>
      <c r="I42" s="22"/>
      <c r="J42" s="22"/>
    </row>
    <row r="43" spans="2:10" ht="12.75" x14ac:dyDescent="0.2">
      <c r="B43" s="20"/>
      <c r="C43" s="22"/>
      <c r="D43" s="22"/>
      <c r="E43" s="22"/>
      <c r="F43" s="22"/>
      <c r="G43" s="22"/>
      <c r="H43" s="22"/>
      <c r="I43" s="22"/>
      <c r="J43" s="22"/>
    </row>
    <row r="44" spans="2:10" ht="12.75" x14ac:dyDescent="0.2">
      <c r="B44" s="20"/>
      <c r="C44" s="22"/>
      <c r="D44" s="22"/>
      <c r="E44" s="22"/>
      <c r="F44" s="22"/>
      <c r="G44" s="22"/>
      <c r="H44" s="22"/>
      <c r="I44" s="22"/>
      <c r="J44" s="22"/>
    </row>
    <row r="45" spans="2:10" ht="12.75" x14ac:dyDescent="0.2">
      <c r="B45" s="20"/>
      <c r="C45" s="22"/>
      <c r="D45" s="22"/>
      <c r="E45" s="22"/>
      <c r="F45" s="22"/>
      <c r="G45" s="22"/>
      <c r="H45" s="22"/>
      <c r="I45" s="22"/>
      <c r="J45" s="22"/>
    </row>
    <row r="46" spans="2:10" ht="12.75" x14ac:dyDescent="0.2">
      <c r="B46" s="20"/>
      <c r="C46" s="22"/>
      <c r="D46" s="22"/>
      <c r="E46" s="22"/>
      <c r="F46" s="22"/>
      <c r="G46" s="22"/>
      <c r="H46" s="22"/>
      <c r="I46" s="22"/>
      <c r="J46" s="22"/>
    </row>
    <row r="47" spans="2:10" ht="12.75" x14ac:dyDescent="0.2">
      <c r="B47" s="20"/>
      <c r="C47" s="22"/>
      <c r="D47" s="22"/>
      <c r="E47" s="22"/>
      <c r="F47" s="22"/>
      <c r="G47" s="22"/>
      <c r="H47" s="22"/>
      <c r="I47" s="22"/>
      <c r="J47" s="22"/>
    </row>
    <row r="48" spans="2:10" ht="12.75" x14ac:dyDescent="0.2">
      <c r="B48" s="20"/>
      <c r="C48" s="22"/>
      <c r="D48" s="22"/>
      <c r="E48" s="22"/>
      <c r="F48" s="22"/>
      <c r="G48" s="22"/>
      <c r="H48" s="22"/>
      <c r="I48" s="22"/>
      <c r="J48" s="22"/>
    </row>
    <row r="49" spans="2:10" ht="12.75" x14ac:dyDescent="0.2">
      <c r="B49" s="20"/>
      <c r="C49" s="22"/>
      <c r="D49" s="22"/>
      <c r="E49" s="22"/>
      <c r="F49" s="22"/>
      <c r="G49" s="22"/>
      <c r="H49" s="22"/>
      <c r="I49" s="22"/>
      <c r="J49" s="22"/>
    </row>
    <row r="50" spans="2:10" ht="12.75" x14ac:dyDescent="0.2">
      <c r="B50" s="20"/>
      <c r="C50" s="22"/>
      <c r="D50" s="22"/>
      <c r="E50" s="22"/>
      <c r="F50" s="22"/>
      <c r="G50" s="22"/>
      <c r="H50" s="22"/>
      <c r="I50" s="22"/>
      <c r="J50" s="22"/>
    </row>
    <row r="51" spans="2:10" ht="12.75" x14ac:dyDescent="0.2">
      <c r="B51" s="20"/>
      <c r="C51" s="22"/>
      <c r="D51" s="22"/>
      <c r="E51" s="22"/>
      <c r="F51" s="22"/>
      <c r="G51" s="22"/>
      <c r="H51" s="22"/>
      <c r="I51" s="22"/>
      <c r="J51" s="22"/>
    </row>
    <row r="52" spans="2:10" ht="12.75" x14ac:dyDescent="0.2">
      <c r="B52" s="20"/>
      <c r="C52" s="22"/>
      <c r="D52" s="22"/>
      <c r="E52" s="22"/>
      <c r="F52" s="22"/>
      <c r="G52" s="22"/>
      <c r="H52" s="22"/>
      <c r="I52" s="22"/>
      <c r="J52" s="22"/>
    </row>
    <row r="53" spans="2:10" ht="12.75" x14ac:dyDescent="0.2">
      <c r="B53" s="20"/>
      <c r="C53" s="22"/>
      <c r="D53" s="22"/>
      <c r="E53" s="22"/>
      <c r="F53" s="22"/>
      <c r="G53" s="22"/>
      <c r="H53" s="22"/>
      <c r="I53" s="22"/>
      <c r="J53" s="22"/>
    </row>
    <row r="54" spans="2:10" ht="12.75" x14ac:dyDescent="0.2">
      <c r="B54" s="20"/>
      <c r="C54" s="22"/>
      <c r="D54" s="22"/>
      <c r="E54" s="22"/>
      <c r="F54" s="22"/>
      <c r="G54" s="22"/>
      <c r="H54" s="22"/>
      <c r="I54" s="22"/>
      <c r="J54" s="22"/>
    </row>
    <row r="55" spans="2:10" ht="12.75" x14ac:dyDescent="0.2">
      <c r="B55" s="20"/>
      <c r="C55" s="22"/>
      <c r="D55" s="22"/>
      <c r="E55" s="22"/>
      <c r="F55" s="22"/>
      <c r="G55" s="22"/>
      <c r="H55" s="22"/>
      <c r="I55" s="22"/>
      <c r="J55" s="22"/>
    </row>
    <row r="56" spans="2:10" ht="12.75" x14ac:dyDescent="0.2">
      <c r="B56" s="20"/>
      <c r="C56" s="22"/>
      <c r="D56" s="22"/>
      <c r="E56" s="22"/>
      <c r="F56" s="22"/>
      <c r="G56" s="22"/>
      <c r="H56" s="22"/>
      <c r="I56" s="22"/>
      <c r="J56" s="22"/>
    </row>
    <row r="57" spans="2:10" ht="12.75" x14ac:dyDescent="0.2">
      <c r="B57" s="20"/>
      <c r="C57" s="22"/>
      <c r="D57" s="22"/>
      <c r="E57" s="22"/>
      <c r="F57" s="22"/>
      <c r="G57" s="22"/>
      <c r="H57" s="22"/>
      <c r="I57" s="22"/>
      <c r="J57" s="22"/>
    </row>
    <row r="58" spans="2:10" ht="12.75" x14ac:dyDescent="0.2">
      <c r="B58" s="20"/>
      <c r="C58" s="22"/>
      <c r="D58" s="22"/>
      <c r="E58" s="22"/>
      <c r="F58" s="22"/>
      <c r="G58" s="22"/>
      <c r="H58" s="22"/>
      <c r="I58" s="22"/>
      <c r="J58" s="22"/>
    </row>
    <row r="59" spans="2:10" ht="12.75" x14ac:dyDescent="0.2">
      <c r="B59" s="20"/>
      <c r="C59" s="22"/>
      <c r="D59" s="22"/>
      <c r="E59" s="22"/>
      <c r="F59" s="22"/>
      <c r="G59" s="22"/>
      <c r="H59" s="22"/>
      <c r="I59" s="22"/>
      <c r="J59" s="22"/>
    </row>
    <row r="60" spans="2:10" ht="12.75" x14ac:dyDescent="0.2">
      <c r="B60" s="20"/>
      <c r="C60" s="22"/>
      <c r="D60" s="22"/>
      <c r="E60" s="22"/>
      <c r="F60" s="22"/>
      <c r="G60" s="22"/>
      <c r="H60" s="22"/>
      <c r="I60" s="22"/>
      <c r="J60" s="22"/>
    </row>
    <row r="61" spans="2:10" ht="12.75" x14ac:dyDescent="0.2">
      <c r="B61" s="20"/>
      <c r="C61" s="22"/>
      <c r="D61" s="22"/>
      <c r="E61" s="22"/>
      <c r="F61" s="22"/>
      <c r="G61" s="22"/>
      <c r="H61" s="22"/>
      <c r="I61" s="22"/>
      <c r="J61" s="22"/>
    </row>
    <row r="62" spans="2:10" ht="12.75" x14ac:dyDescent="0.2">
      <c r="B62" s="20"/>
      <c r="C62" s="22"/>
      <c r="D62" s="22"/>
      <c r="E62" s="22"/>
      <c r="F62" s="22"/>
      <c r="G62" s="22"/>
      <c r="H62" s="22"/>
      <c r="I62" s="22"/>
      <c r="J62" s="22"/>
    </row>
    <row r="63" spans="2:10" ht="12.75" x14ac:dyDescent="0.2">
      <c r="B63" s="20"/>
      <c r="C63" s="22"/>
      <c r="D63" s="22"/>
      <c r="E63" s="22"/>
      <c r="F63" s="22"/>
      <c r="G63" s="22"/>
      <c r="H63" s="22"/>
      <c r="I63" s="22"/>
      <c r="J63" s="22"/>
    </row>
    <row r="64" spans="2:10" ht="12.75" x14ac:dyDescent="0.2">
      <c r="B64" s="20"/>
      <c r="C64" s="22"/>
      <c r="D64" s="22"/>
      <c r="E64" s="22"/>
      <c r="F64" s="22"/>
      <c r="G64" s="22"/>
      <c r="H64" s="22"/>
      <c r="I64" s="22"/>
      <c r="J64" s="22"/>
    </row>
    <row r="65" spans="2:10" ht="12.75" x14ac:dyDescent="0.2">
      <c r="B65" s="20"/>
      <c r="C65" s="22"/>
      <c r="D65" s="22"/>
      <c r="E65" s="22"/>
      <c r="F65" s="22"/>
      <c r="G65" s="22"/>
      <c r="H65" s="22"/>
      <c r="I65" s="22"/>
      <c r="J65" s="22"/>
    </row>
    <row r="66" spans="2:10" ht="12.75" x14ac:dyDescent="0.2">
      <c r="B66" s="20"/>
      <c r="C66" s="22"/>
      <c r="D66" s="22"/>
      <c r="E66" s="22"/>
      <c r="F66" s="22"/>
      <c r="G66" s="22"/>
      <c r="H66" s="22"/>
      <c r="I66" s="22"/>
      <c r="J66" s="22"/>
    </row>
    <row r="67" spans="2:10" ht="12.75" x14ac:dyDescent="0.2">
      <c r="B67" s="20"/>
      <c r="C67" s="22"/>
      <c r="D67" s="22"/>
      <c r="E67" s="22"/>
      <c r="F67" s="22"/>
      <c r="G67" s="22"/>
      <c r="H67" s="22"/>
      <c r="I67" s="22"/>
      <c r="J67" s="22"/>
    </row>
    <row r="68" spans="2:10" ht="12.75" x14ac:dyDescent="0.2">
      <c r="B68" s="20"/>
      <c r="C68" s="22"/>
      <c r="D68" s="22"/>
      <c r="E68" s="22"/>
      <c r="F68" s="22"/>
      <c r="G68" s="22"/>
      <c r="H68" s="22"/>
      <c r="I68" s="22"/>
      <c r="J68" s="22"/>
    </row>
    <row r="69" spans="2:10" ht="12.75" x14ac:dyDescent="0.2">
      <c r="B69" s="20"/>
      <c r="C69" s="22"/>
      <c r="D69" s="22"/>
      <c r="E69" s="22"/>
      <c r="F69" s="22"/>
      <c r="G69" s="22"/>
      <c r="H69" s="22"/>
      <c r="I69" s="22"/>
      <c r="J69" s="22"/>
    </row>
    <row r="70" spans="2:10" ht="12.75" x14ac:dyDescent="0.2">
      <c r="B70" s="20"/>
      <c r="C70" s="22"/>
      <c r="D70" s="22"/>
      <c r="E70" s="22"/>
      <c r="F70" s="22"/>
      <c r="G70" s="22"/>
      <c r="H70" s="22"/>
      <c r="I70" s="22"/>
      <c r="J70" s="22"/>
    </row>
    <row r="71" spans="2:10" ht="12.75" x14ac:dyDescent="0.2">
      <c r="B71" s="20"/>
      <c r="C71" s="22"/>
      <c r="D71" s="22"/>
      <c r="E71" s="22"/>
      <c r="F71" s="22"/>
      <c r="G71" s="22"/>
      <c r="H71" s="22"/>
      <c r="I71" s="22"/>
      <c r="J71" s="22"/>
    </row>
    <row r="72" spans="2:10" ht="12.75" x14ac:dyDescent="0.2">
      <c r="B72" s="20"/>
      <c r="C72" s="22"/>
      <c r="D72" s="22"/>
      <c r="E72" s="22"/>
      <c r="F72" s="22"/>
      <c r="G72" s="22"/>
      <c r="H72" s="22"/>
      <c r="I72" s="22"/>
      <c r="J72" s="22"/>
    </row>
    <row r="73" spans="2:10" ht="12.75" x14ac:dyDescent="0.2">
      <c r="B73" s="23"/>
    </row>
    <row r="74" spans="2:10" ht="12.75" x14ac:dyDescent="0.2">
      <c r="B74" s="23"/>
    </row>
    <row r="75" spans="2:10" ht="12.75" x14ac:dyDescent="0.2">
      <c r="B75" s="23"/>
    </row>
    <row r="76" spans="2:10" ht="12.75" x14ac:dyDescent="0.2">
      <c r="B76" s="23"/>
    </row>
    <row r="77" spans="2:10" ht="12.75" x14ac:dyDescent="0.2">
      <c r="B77" s="23"/>
    </row>
    <row r="78" spans="2:10" ht="12.75" x14ac:dyDescent="0.2">
      <c r="B78" s="23"/>
    </row>
    <row r="79" spans="2:10" ht="12.75" x14ac:dyDescent="0.2">
      <c r="B79" s="23"/>
    </row>
    <row r="80" spans="2:10" ht="12.75" x14ac:dyDescent="0.2">
      <c r="B80" s="23"/>
    </row>
    <row r="81" spans="2:2" ht="12.75" x14ac:dyDescent="0.2">
      <c r="B81" s="23"/>
    </row>
    <row r="82" spans="2:2" ht="12.75" x14ac:dyDescent="0.2">
      <c r="B82" s="23"/>
    </row>
    <row r="83" spans="2:2" ht="12.75" x14ac:dyDescent="0.2">
      <c r="B83" s="23"/>
    </row>
    <row r="84" spans="2:2" ht="12.75" x14ac:dyDescent="0.2">
      <c r="B84" s="23"/>
    </row>
    <row r="85" spans="2:2" ht="12.75" x14ac:dyDescent="0.2">
      <c r="B85" s="23"/>
    </row>
    <row r="86" spans="2:2" ht="12.75" x14ac:dyDescent="0.2">
      <c r="B86" s="23"/>
    </row>
    <row r="87" spans="2:2" ht="12.75" x14ac:dyDescent="0.2">
      <c r="B87" s="23"/>
    </row>
    <row r="88" spans="2:2" ht="12.75" x14ac:dyDescent="0.2">
      <c r="B88" s="23"/>
    </row>
    <row r="89" spans="2:2" ht="12.75" x14ac:dyDescent="0.2">
      <c r="B89" s="23"/>
    </row>
    <row r="90" spans="2:2" ht="12.75" x14ac:dyDescent="0.2">
      <c r="B90" s="23"/>
    </row>
    <row r="91" spans="2:2" ht="12.75" x14ac:dyDescent="0.2">
      <c r="B91" s="23"/>
    </row>
    <row r="92" spans="2:2" ht="12.75" x14ac:dyDescent="0.2">
      <c r="B92" s="23"/>
    </row>
    <row r="93" spans="2:2" ht="12.75" x14ac:dyDescent="0.2">
      <c r="B93" s="23"/>
    </row>
    <row r="94" spans="2:2" ht="12.75" x14ac:dyDescent="0.2">
      <c r="B94" s="23"/>
    </row>
    <row r="95" spans="2:2" ht="12.75" x14ac:dyDescent="0.2">
      <c r="B95" s="23"/>
    </row>
    <row r="96" spans="2:2" ht="12.75" x14ac:dyDescent="0.2">
      <c r="B96" s="23"/>
    </row>
    <row r="97" spans="2:2" ht="12.75" x14ac:dyDescent="0.2">
      <c r="B97" s="23"/>
    </row>
    <row r="98" spans="2:2" ht="12.75" x14ac:dyDescent="0.2">
      <c r="B98" s="23"/>
    </row>
    <row r="99" spans="2:2" ht="12.75" x14ac:dyDescent="0.2">
      <c r="B99" s="23"/>
    </row>
    <row r="100" spans="2:2" ht="12.75" x14ac:dyDescent="0.2">
      <c r="B100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Marketplace Tasks</vt:lpstr>
      <vt:lpstr>Log Tracker</vt:lpstr>
      <vt:lpstr>Weekly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 Verma</cp:lastModifiedBy>
  <dcterms:modified xsi:type="dcterms:W3CDTF">2026-09-06T14:16:11Z</dcterms:modified>
</cp:coreProperties>
</file>